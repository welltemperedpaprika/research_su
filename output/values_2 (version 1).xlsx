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gh\summer\research\output\"/>
    </mc:Choice>
  </mc:AlternateContent>
  <xr:revisionPtr revIDLastSave="0" documentId="8_{0A43FF05-917B-4BEE-B4E1-786F3438DC24}" xr6:coauthVersionLast="45" xr6:coauthVersionMax="45" xr10:uidLastSave="{00000000-0000-0000-0000-000000000000}"/>
  <bookViews>
    <workbookView xWindow="-120" yWindow="-120" windowWidth="29040" windowHeight="15840" activeTab="4" xr2:uid="{FA81AE3B-DEFA-473D-BE0F-682341565E4F}"/>
  </bookViews>
  <sheets>
    <sheet name="dipoles" sheetId="12" r:id="rId1"/>
    <sheet name="quadrupoles" sheetId="6" r:id="rId2"/>
    <sheet name="stdev" sheetId="8" r:id="rId3"/>
    <sheet name="energies" sheetId="5" r:id="rId4"/>
    <sheet name="q,d_sum" sheetId="9" r:id="rId5"/>
    <sheet name="sample" sheetId="7" r:id="rId6"/>
    <sheet name="cbs_limit" sheetId="13" r:id="rId7"/>
  </sheets>
  <definedNames>
    <definedName name="ExternalData_1" localSheetId="0" hidden="1">dipoles!$A$1:$E$67</definedName>
    <definedName name="quadrupoles" localSheetId="1">quadrupoles!$A$2:$G$67</definedName>
    <definedName name="totalenergies" localSheetId="3">energies!$A$2:$H$67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62" i="6" l="1"/>
  <c r="L62" i="6" s="1"/>
  <c r="E62" i="8" s="1"/>
  <c r="G56" i="6"/>
  <c r="L56" i="6" s="1"/>
  <c r="E56" i="8" s="1"/>
  <c r="G50" i="6"/>
  <c r="G44" i="6"/>
  <c r="L44" i="6" s="1"/>
  <c r="E44" i="8" s="1"/>
  <c r="G38" i="6"/>
  <c r="L38" i="6" s="1"/>
  <c r="E38" i="8" s="1"/>
  <c r="G32" i="6"/>
  <c r="L32" i="6" s="1"/>
  <c r="E32" i="8" s="1"/>
  <c r="G26" i="6"/>
  <c r="L26" i="6" s="1"/>
  <c r="E26" i="8" s="1"/>
  <c r="G20" i="6"/>
  <c r="L20" i="6" s="1"/>
  <c r="E20" i="8" s="1"/>
  <c r="G14" i="6"/>
  <c r="L14" i="6" s="1"/>
  <c r="E14" i="8" s="1"/>
  <c r="G8" i="6"/>
  <c r="G2" i="6"/>
  <c r="D2" i="6"/>
  <c r="K2" i="6" s="1"/>
  <c r="D2" i="8" s="1"/>
  <c r="D8" i="6"/>
  <c r="D14" i="6"/>
  <c r="K14" i="6" s="1"/>
  <c r="D14" i="8" s="1"/>
  <c r="D20" i="6"/>
  <c r="K20" i="6" s="1"/>
  <c r="D20" i="8" s="1"/>
  <c r="D26" i="6"/>
  <c r="D32" i="6"/>
  <c r="D38" i="6"/>
  <c r="D44" i="6"/>
  <c r="K44" i="6" s="1"/>
  <c r="D44" i="8" s="1"/>
  <c r="D50" i="6"/>
  <c r="D56" i="6"/>
  <c r="K56" i="6" s="1"/>
  <c r="D56" i="8" s="1"/>
  <c r="D62" i="6"/>
  <c r="B62" i="6"/>
  <c r="B56" i="6"/>
  <c r="J56" i="6" s="1"/>
  <c r="C56" i="8" s="1"/>
  <c r="B50" i="6"/>
  <c r="B44" i="6"/>
  <c r="B38" i="6"/>
  <c r="B32" i="6"/>
  <c r="B26" i="6"/>
  <c r="B20" i="6"/>
  <c r="B14" i="6"/>
  <c r="J14" i="6" s="1"/>
  <c r="C14" i="8" s="1"/>
  <c r="B3" i="6"/>
  <c r="B4" i="6"/>
  <c r="B5" i="6"/>
  <c r="B6" i="6"/>
  <c r="B7" i="6"/>
  <c r="B8" i="6"/>
  <c r="B2" i="6"/>
  <c r="E6" i="8"/>
  <c r="E11" i="8"/>
  <c r="E16" i="8"/>
  <c r="E21" i="8"/>
  <c r="E25" i="8"/>
  <c r="E30" i="8"/>
  <c r="E35" i="8"/>
  <c r="E40" i="8"/>
  <c r="E45" i="8"/>
  <c r="E49" i="8"/>
  <c r="E54" i="8"/>
  <c r="E59" i="8"/>
  <c r="E64" i="8"/>
  <c r="G8" i="7"/>
  <c r="L3" i="6"/>
  <c r="E3" i="8" s="1"/>
  <c r="L4" i="6"/>
  <c r="E4" i="8" s="1"/>
  <c r="L5" i="6"/>
  <c r="E5" i="8" s="1"/>
  <c r="L6" i="6"/>
  <c r="L7" i="6"/>
  <c r="E7" i="8" s="1"/>
  <c r="L9" i="6"/>
  <c r="E9" i="8" s="1"/>
  <c r="L10" i="6"/>
  <c r="E10" i="8" s="1"/>
  <c r="L11" i="6"/>
  <c r="L12" i="6"/>
  <c r="E12" i="8" s="1"/>
  <c r="L13" i="6"/>
  <c r="E13" i="8" s="1"/>
  <c r="L15" i="6"/>
  <c r="E15" i="8" s="1"/>
  <c r="L16" i="6"/>
  <c r="L17" i="6"/>
  <c r="E17" i="8" s="1"/>
  <c r="L18" i="6"/>
  <c r="E18" i="8" s="1"/>
  <c r="L19" i="6"/>
  <c r="E19" i="8" s="1"/>
  <c r="L21" i="6"/>
  <c r="L22" i="6"/>
  <c r="E22" i="8" s="1"/>
  <c r="L23" i="6"/>
  <c r="E23" i="8" s="1"/>
  <c r="L24" i="6"/>
  <c r="E24" i="8" s="1"/>
  <c r="L25" i="6"/>
  <c r="L27" i="6"/>
  <c r="E27" i="8" s="1"/>
  <c r="L28" i="6"/>
  <c r="E28" i="8" s="1"/>
  <c r="L29" i="6"/>
  <c r="E29" i="8" s="1"/>
  <c r="L30" i="6"/>
  <c r="L31" i="6"/>
  <c r="E31" i="8" s="1"/>
  <c r="L33" i="6"/>
  <c r="E33" i="8" s="1"/>
  <c r="L34" i="6"/>
  <c r="E34" i="8" s="1"/>
  <c r="L35" i="6"/>
  <c r="L36" i="6"/>
  <c r="E36" i="8" s="1"/>
  <c r="L37" i="6"/>
  <c r="E37" i="8" s="1"/>
  <c r="L39" i="6"/>
  <c r="E39" i="8" s="1"/>
  <c r="L40" i="6"/>
  <c r="L41" i="6"/>
  <c r="E41" i="8" s="1"/>
  <c r="L42" i="6"/>
  <c r="E42" i="8" s="1"/>
  <c r="L43" i="6"/>
  <c r="E43" i="8" s="1"/>
  <c r="L45" i="6"/>
  <c r="L46" i="6"/>
  <c r="E46" i="8" s="1"/>
  <c r="L47" i="6"/>
  <c r="E47" i="8" s="1"/>
  <c r="L48" i="6"/>
  <c r="E48" i="8" s="1"/>
  <c r="L49" i="6"/>
  <c r="L51" i="6"/>
  <c r="E51" i="8" s="1"/>
  <c r="L52" i="6"/>
  <c r="E52" i="8" s="1"/>
  <c r="L53" i="6"/>
  <c r="E53" i="8" s="1"/>
  <c r="L54" i="6"/>
  <c r="L55" i="6"/>
  <c r="E55" i="8" s="1"/>
  <c r="L57" i="6"/>
  <c r="E57" i="8" s="1"/>
  <c r="L58" i="6"/>
  <c r="E58" i="8" s="1"/>
  <c r="L59" i="6"/>
  <c r="L60" i="6"/>
  <c r="E60" i="8" s="1"/>
  <c r="L61" i="6"/>
  <c r="E61" i="8" s="1"/>
  <c r="L63" i="6"/>
  <c r="E63" i="8" s="1"/>
  <c r="L64" i="6"/>
  <c r="L65" i="6"/>
  <c r="E65" i="8" s="1"/>
  <c r="L66" i="6"/>
  <c r="E66" i="8" s="1"/>
  <c r="L67" i="6"/>
  <c r="E67" i="8" s="1"/>
  <c r="L50" i="6"/>
  <c r="E50" i="8" s="1"/>
  <c r="L8" i="6"/>
  <c r="E8" i="8" s="1"/>
  <c r="K62" i="6"/>
  <c r="D62" i="8" s="1"/>
  <c r="K38" i="6"/>
  <c r="D38" i="8" s="1"/>
  <c r="K26" i="6"/>
  <c r="D26" i="8" s="1"/>
  <c r="K8" i="6"/>
  <c r="D8" i="8" s="1"/>
  <c r="J62" i="6"/>
  <c r="C62" i="8" s="1"/>
  <c r="J50" i="6"/>
  <c r="C50" i="8" s="1"/>
  <c r="J44" i="6"/>
  <c r="C44" i="8" s="1"/>
  <c r="J38" i="6"/>
  <c r="C38" i="8" s="1"/>
  <c r="K3" i="6"/>
  <c r="D3" i="8" s="1"/>
  <c r="K4" i="6"/>
  <c r="D4" i="8" s="1"/>
  <c r="K5" i="6"/>
  <c r="D5" i="8" s="1"/>
  <c r="K6" i="6"/>
  <c r="D6" i="8" s="1"/>
  <c r="K7" i="6"/>
  <c r="D7" i="8" s="1"/>
  <c r="K9" i="6"/>
  <c r="D9" i="8" s="1"/>
  <c r="K10" i="6"/>
  <c r="D10" i="8" s="1"/>
  <c r="K11" i="6"/>
  <c r="D11" i="8" s="1"/>
  <c r="K12" i="6"/>
  <c r="D12" i="8" s="1"/>
  <c r="K13" i="6"/>
  <c r="D13" i="8" s="1"/>
  <c r="K15" i="6"/>
  <c r="D15" i="8" s="1"/>
  <c r="K16" i="6"/>
  <c r="D16" i="8" s="1"/>
  <c r="K17" i="6"/>
  <c r="D17" i="8" s="1"/>
  <c r="K18" i="6"/>
  <c r="D18" i="8" s="1"/>
  <c r="K19" i="6"/>
  <c r="D19" i="8" s="1"/>
  <c r="K21" i="6"/>
  <c r="D21" i="8" s="1"/>
  <c r="K22" i="6"/>
  <c r="D22" i="8" s="1"/>
  <c r="K23" i="6"/>
  <c r="D23" i="8" s="1"/>
  <c r="K24" i="6"/>
  <c r="D24" i="8" s="1"/>
  <c r="K25" i="6"/>
  <c r="D25" i="8" s="1"/>
  <c r="K27" i="6"/>
  <c r="D27" i="8" s="1"/>
  <c r="K28" i="6"/>
  <c r="D28" i="8" s="1"/>
  <c r="K29" i="6"/>
  <c r="D29" i="8" s="1"/>
  <c r="K30" i="6"/>
  <c r="D30" i="8" s="1"/>
  <c r="K31" i="6"/>
  <c r="D31" i="8" s="1"/>
  <c r="K32" i="6"/>
  <c r="D32" i="8" s="1"/>
  <c r="K33" i="6"/>
  <c r="D33" i="8" s="1"/>
  <c r="K34" i="6"/>
  <c r="D34" i="8" s="1"/>
  <c r="K35" i="6"/>
  <c r="D35" i="8" s="1"/>
  <c r="K36" i="6"/>
  <c r="D36" i="8" s="1"/>
  <c r="K37" i="6"/>
  <c r="D37" i="8" s="1"/>
  <c r="K39" i="6"/>
  <c r="D39" i="8" s="1"/>
  <c r="K40" i="6"/>
  <c r="D40" i="8" s="1"/>
  <c r="K41" i="6"/>
  <c r="D41" i="8" s="1"/>
  <c r="K42" i="6"/>
  <c r="D42" i="8" s="1"/>
  <c r="K43" i="6"/>
  <c r="D43" i="8" s="1"/>
  <c r="K45" i="6"/>
  <c r="D45" i="8" s="1"/>
  <c r="K46" i="6"/>
  <c r="D46" i="8" s="1"/>
  <c r="K47" i="6"/>
  <c r="D47" i="8" s="1"/>
  <c r="K48" i="6"/>
  <c r="D48" i="8" s="1"/>
  <c r="K49" i="6"/>
  <c r="D49" i="8" s="1"/>
  <c r="K50" i="6"/>
  <c r="D50" i="8" s="1"/>
  <c r="K51" i="6"/>
  <c r="D51" i="8" s="1"/>
  <c r="K52" i="6"/>
  <c r="D52" i="8" s="1"/>
  <c r="K53" i="6"/>
  <c r="D53" i="8" s="1"/>
  <c r="K54" i="6"/>
  <c r="D54" i="8" s="1"/>
  <c r="K55" i="6"/>
  <c r="D55" i="8" s="1"/>
  <c r="K57" i="6"/>
  <c r="D57" i="8" s="1"/>
  <c r="K58" i="6"/>
  <c r="D58" i="8" s="1"/>
  <c r="K59" i="6"/>
  <c r="D59" i="8" s="1"/>
  <c r="K60" i="6"/>
  <c r="D60" i="8" s="1"/>
  <c r="K61" i="6"/>
  <c r="D61" i="8" s="1"/>
  <c r="K63" i="6"/>
  <c r="D63" i="8" s="1"/>
  <c r="K64" i="6"/>
  <c r="D64" i="8" s="1"/>
  <c r="K65" i="6"/>
  <c r="D65" i="8" s="1"/>
  <c r="K66" i="6"/>
  <c r="D66" i="8" s="1"/>
  <c r="K67" i="6"/>
  <c r="D67" i="8" s="1"/>
  <c r="J9" i="6"/>
  <c r="C9" i="8" s="1"/>
  <c r="J10" i="6"/>
  <c r="C10" i="8" s="1"/>
  <c r="J11" i="6"/>
  <c r="C11" i="8" s="1"/>
  <c r="J12" i="6"/>
  <c r="C12" i="8" s="1"/>
  <c r="J13" i="6"/>
  <c r="C13" i="8" s="1"/>
  <c r="J15" i="6"/>
  <c r="C15" i="8" s="1"/>
  <c r="J16" i="6"/>
  <c r="C16" i="8" s="1"/>
  <c r="J17" i="6"/>
  <c r="C17" i="8" s="1"/>
  <c r="J18" i="6"/>
  <c r="C18" i="8" s="1"/>
  <c r="J19" i="6"/>
  <c r="C19" i="8" s="1"/>
  <c r="J21" i="6"/>
  <c r="C21" i="8" s="1"/>
  <c r="J22" i="6"/>
  <c r="C22" i="8" s="1"/>
  <c r="J23" i="6"/>
  <c r="C23" i="8" s="1"/>
  <c r="J24" i="6"/>
  <c r="C24" i="8" s="1"/>
  <c r="J25" i="6"/>
  <c r="C25" i="8" s="1"/>
  <c r="J27" i="6"/>
  <c r="C27" i="8" s="1"/>
  <c r="J28" i="6"/>
  <c r="C28" i="8" s="1"/>
  <c r="J29" i="6"/>
  <c r="C29" i="8" s="1"/>
  <c r="J30" i="6"/>
  <c r="C30" i="8" s="1"/>
  <c r="J31" i="6"/>
  <c r="C31" i="8" s="1"/>
  <c r="J33" i="6"/>
  <c r="C33" i="8" s="1"/>
  <c r="J34" i="6"/>
  <c r="C34" i="8" s="1"/>
  <c r="J35" i="6"/>
  <c r="C35" i="8" s="1"/>
  <c r="J36" i="6"/>
  <c r="C36" i="8" s="1"/>
  <c r="J37" i="6"/>
  <c r="C37" i="8" s="1"/>
  <c r="J39" i="6"/>
  <c r="C39" i="8" s="1"/>
  <c r="J40" i="6"/>
  <c r="C40" i="8" s="1"/>
  <c r="J41" i="6"/>
  <c r="C41" i="8" s="1"/>
  <c r="J42" i="6"/>
  <c r="C42" i="8" s="1"/>
  <c r="J43" i="6"/>
  <c r="C43" i="8" s="1"/>
  <c r="J45" i="6"/>
  <c r="C45" i="8" s="1"/>
  <c r="J46" i="6"/>
  <c r="C46" i="8" s="1"/>
  <c r="J47" i="6"/>
  <c r="C47" i="8" s="1"/>
  <c r="J48" i="6"/>
  <c r="C48" i="8" s="1"/>
  <c r="J49" i="6"/>
  <c r="C49" i="8" s="1"/>
  <c r="J51" i="6"/>
  <c r="C51" i="8" s="1"/>
  <c r="J52" i="6"/>
  <c r="C52" i="8" s="1"/>
  <c r="J53" i="6"/>
  <c r="C53" i="8" s="1"/>
  <c r="J54" i="6"/>
  <c r="C54" i="8" s="1"/>
  <c r="J55" i="6"/>
  <c r="C55" i="8" s="1"/>
  <c r="J57" i="6"/>
  <c r="C57" i="8" s="1"/>
  <c r="J58" i="6"/>
  <c r="C58" i="8" s="1"/>
  <c r="J59" i="6"/>
  <c r="C59" i="8" s="1"/>
  <c r="J60" i="6"/>
  <c r="C60" i="8" s="1"/>
  <c r="J61" i="6"/>
  <c r="C61" i="8" s="1"/>
  <c r="J63" i="6"/>
  <c r="C63" i="8" s="1"/>
  <c r="J64" i="6"/>
  <c r="C64" i="8" s="1"/>
  <c r="J65" i="6"/>
  <c r="C65" i="8" s="1"/>
  <c r="J66" i="6"/>
  <c r="C66" i="8" s="1"/>
  <c r="J67" i="6"/>
  <c r="C67" i="8" s="1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2" i="12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2" i="9"/>
  <c r="U2" i="9"/>
  <c r="N16" i="8"/>
  <c r="N2" i="8"/>
  <c r="J32" i="6"/>
  <c r="C32" i="8" s="1"/>
  <c r="J26" i="6"/>
  <c r="C26" i="8" s="1"/>
  <c r="J20" i="6"/>
  <c r="C20" i="8" s="1"/>
  <c r="J3" i="6"/>
  <c r="C3" i="8" s="1"/>
  <c r="J4" i="6"/>
  <c r="C4" i="8" s="1"/>
  <c r="J5" i="6"/>
  <c r="C5" i="8" s="1"/>
  <c r="J6" i="6"/>
  <c r="C6" i="8" s="1"/>
  <c r="J7" i="6"/>
  <c r="C7" i="8" s="1"/>
  <c r="J8" i="6"/>
  <c r="C8" i="8" s="1"/>
  <c r="L2" i="6"/>
  <c r="E2" i="8" s="1"/>
  <c r="J2" i="6"/>
  <c r="C2" i="8" s="1"/>
  <c r="F16" i="7"/>
  <c r="A16" i="7"/>
  <c r="F15" i="7"/>
  <c r="F14" i="7"/>
  <c r="F3" i="7"/>
  <c r="F4" i="7" s="1"/>
  <c r="F5" i="7" s="1"/>
  <c r="A2" i="7"/>
  <c r="F8" i="7" s="1"/>
  <c r="F9" i="7" s="1"/>
  <c r="F10" i="7" s="1"/>
  <c r="F11" i="7" s="1"/>
  <c r="D8" i="7" l="1"/>
  <c r="D10" i="7" s="1"/>
  <c r="D11" i="7" s="1"/>
  <c r="E8" i="7"/>
  <c r="E10" i="7" s="1"/>
  <c r="E11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5F1F38-8856-2149-B8C8-9203FC9553DB}" name="quadrupoles" type="6" refreshedVersion="6" background="1" saveData="1">
    <textPr sourceFile="/Users/yhljason/research_mhg/output/quadrupoles.txt" comma="1">
      <textFields count="7">
        <textField type="text"/>
        <textField/>
        <textField/>
        <textField/>
        <textField/>
        <textField/>
        <textField/>
      </textFields>
    </textPr>
  </connection>
  <connection id="2" xr16:uid="{377E2C68-A537-429E-99D0-A25ED7F02CF9}" keepAlive="1" name="Query - dipoles" description="Connection to the 'dipoles' query in the workbook." type="5" refreshedVersion="6" background="1" saveData="1">
    <dbPr connection="Provider=Microsoft.Mashup.OleDb.1;Data Source=$Workbook$;Location=dipoles;Extended Properties=&quot;&quot;" command="SELECT * FROM [dipoles]"/>
  </connection>
  <connection id="3" xr16:uid="{247A9134-874D-4D8D-A87E-556DD5C338A1}" keepAlive="1" name="Query - quadrupoles" description="Connection to the 'quadrupoles' query in the workbook." type="5" refreshedVersion="6" background="1">
    <dbPr connection="Provider=Microsoft.Mashup.OleDb.1;Data Source=$Workbook$;Location=quadrupoles;Extended Properties=&quot;&quot;" command="SELECT * FROM [quadrupoles]"/>
  </connection>
  <connection id="4" xr16:uid="{CAA5D025-AAFB-F143-869B-B17675A7BA13}" name="totalenergies" type="6" refreshedVersion="6" background="1" saveData="1">
    <textPr sourceFile="/Users/yhljason/research_mhg/output/totalenergies.txt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<sst xmlns="http://schemas.openxmlformats.org/spreadsheetml/2006/main" count="722" uniqueCount="169">
  <si>
    <t>Electronic</t>
  </si>
  <si>
    <t>Conversion factor:</t>
  </si>
  <si>
    <t>C2H_ccsd</t>
  </si>
  <si>
    <t>C2H_pbe0</t>
  </si>
  <si>
    <t>C2H_pbe</t>
  </si>
  <si>
    <t>C2H_scan0</t>
  </si>
  <si>
    <t>C2H_scan</t>
  </si>
  <si>
    <t>C2H_spw92</t>
  </si>
  <si>
    <t>CH4_ccsd</t>
  </si>
  <si>
    <t>CH4_pbe0</t>
  </si>
  <si>
    <t>CH4_pbe</t>
  </si>
  <si>
    <t>CH4_scan0</t>
  </si>
  <si>
    <t>CH4_scan</t>
  </si>
  <si>
    <t>CH4_spw92</t>
  </si>
  <si>
    <t>CN_ccsd</t>
  </si>
  <si>
    <t>CN_pbe0</t>
  </si>
  <si>
    <t>CN_pbe</t>
  </si>
  <si>
    <t>CN_scan0</t>
  </si>
  <si>
    <t>CN_scan</t>
  </si>
  <si>
    <t>CN_spw92</t>
  </si>
  <si>
    <t>CO2_ccsd</t>
  </si>
  <si>
    <t>CO2_pbe0</t>
  </si>
  <si>
    <t>CO2_pbe</t>
  </si>
  <si>
    <t>CO2_scan0</t>
  </si>
  <si>
    <t>CO2_scan</t>
  </si>
  <si>
    <t>CO2_spw92</t>
  </si>
  <si>
    <t>CO_ccsd</t>
  </si>
  <si>
    <t>CO_pbe0</t>
  </si>
  <si>
    <t xml:space="preserve"> </t>
  </si>
  <si>
    <t>CO_pbe</t>
  </si>
  <si>
    <t>CO_scan0</t>
  </si>
  <si>
    <t>CO_scan</t>
  </si>
  <si>
    <t>CO_spw92</t>
  </si>
  <si>
    <t>H2O_ccsd</t>
  </si>
  <si>
    <t>H2O_pbe0</t>
  </si>
  <si>
    <t>H2O_pbe</t>
  </si>
  <si>
    <t>H2O_scan0</t>
  </si>
  <si>
    <t>H2O_scan</t>
  </si>
  <si>
    <t>H2O_spw92</t>
  </si>
  <si>
    <t>HCO_ccsd</t>
  </si>
  <si>
    <t>HCO_pbe0</t>
  </si>
  <si>
    <t>HCO_pbe</t>
  </si>
  <si>
    <t>HCO_scan0</t>
  </si>
  <si>
    <t>HCO_scan</t>
  </si>
  <si>
    <t>HCO_spw92</t>
  </si>
  <si>
    <t>HF_ccsd</t>
  </si>
  <si>
    <t>HF_pbe0</t>
  </si>
  <si>
    <t>HF_pbe</t>
  </si>
  <si>
    <t>HF_scan0</t>
  </si>
  <si>
    <t>HF_scan</t>
  </si>
  <si>
    <t>HF_spw92</t>
  </si>
  <si>
    <t>HO2_ccsd</t>
  </si>
  <si>
    <t>HO2_pbe0</t>
  </si>
  <si>
    <t>HO2_pbe</t>
  </si>
  <si>
    <t>HO2_scan0</t>
  </si>
  <si>
    <t>HO2_scan</t>
  </si>
  <si>
    <t>HO2_spw92</t>
  </si>
  <si>
    <t>N2_ccsd</t>
  </si>
  <si>
    <t>N2_pbe0</t>
  </si>
  <si>
    <t>N2_pbe</t>
  </si>
  <si>
    <t>N2_scan0</t>
  </si>
  <si>
    <t>N2_scan</t>
  </si>
  <si>
    <t>N2_spw92</t>
  </si>
  <si>
    <t>OH_ccsd</t>
  </si>
  <si>
    <t>OH_pbe0</t>
  </si>
  <si>
    <t>OH_pbe</t>
  </si>
  <si>
    <t>OH_scan0</t>
  </si>
  <si>
    <t>OH_scan</t>
  </si>
  <si>
    <t>OH_spw92</t>
  </si>
  <si>
    <t>0 field</t>
  </si>
  <si>
    <t>XX</t>
  </si>
  <si>
    <t>-XX</t>
  </si>
  <si>
    <t>YY</t>
  </si>
  <si>
    <t>-YY</t>
  </si>
  <si>
    <t>ZZ</t>
  </si>
  <si>
    <t>-ZZ</t>
  </si>
  <si>
    <t>XY</t>
  </si>
  <si>
    <t>XZ</t>
  </si>
  <si>
    <t xml:space="preserve">X </t>
  </si>
  <si>
    <t>Y</t>
  </si>
  <si>
    <t>Z</t>
  </si>
  <si>
    <t>Atomic_unit</t>
  </si>
  <si>
    <t>per charge</t>
  </si>
  <si>
    <t>std_dev</t>
  </si>
  <si>
    <t>A to Bohr</t>
  </si>
  <si>
    <t>sum_q:</t>
  </si>
  <si>
    <t>sum_d:</t>
  </si>
  <si>
    <t>X</t>
  </si>
  <si>
    <t>ea0 to debye-ang</t>
  </si>
  <si>
    <t>debye to e</t>
  </si>
  <si>
    <t>Ang to bohr</t>
  </si>
  <si>
    <t>Ang2 to bohr2</t>
  </si>
  <si>
    <t>tot_e</t>
  </si>
  <si>
    <t/>
  </si>
  <si>
    <t xml:space="preserve"> 0.0000</t>
  </si>
  <si>
    <t xml:space="preserve"> -0.0000</t>
  </si>
  <si>
    <t xml:space="preserve"> 0.7553</t>
  </si>
  <si>
    <t xml:space="preserve"> 0.7654</t>
  </si>
  <si>
    <t xml:space="preserve"> 0.7451</t>
  </si>
  <si>
    <t xml:space="preserve"> 0.7502</t>
  </si>
  <si>
    <t xml:space="preserve"> 1.4805</t>
  </si>
  <si>
    <t xml:space="preserve"> 1.1524</t>
  </si>
  <si>
    <t xml:space="preserve"> 1.7024</t>
  </si>
  <si>
    <t xml:space="preserve"> 1.4404</t>
  </si>
  <si>
    <t xml:space="preserve"> 0.1018</t>
  </si>
  <si>
    <t xml:space="preserve"> 0.2239</t>
  </si>
  <si>
    <t xml:space="preserve"> 0.0322</t>
  </si>
  <si>
    <t xml:space="preserve"> 0.1318</t>
  </si>
  <si>
    <t xml:space="preserve"> 0.2290</t>
  </si>
  <si>
    <t xml:space="preserve"> -1.8579</t>
  </si>
  <si>
    <t xml:space="preserve"> 1.8579</t>
  </si>
  <si>
    <t xml:space="preserve"> -1.7949</t>
  </si>
  <si>
    <t xml:space="preserve"> 1.7949</t>
  </si>
  <si>
    <t xml:space="preserve"> -1.8853</t>
  </si>
  <si>
    <t xml:space="preserve"> 1.8853</t>
  </si>
  <si>
    <t xml:space="preserve"> -1.8396</t>
  </si>
  <si>
    <t xml:space="preserve"> 1.8396</t>
  </si>
  <si>
    <t xml:space="preserve"> 1.5806</t>
  </si>
  <si>
    <t xml:space="preserve"> -0.6828</t>
  </si>
  <si>
    <t xml:space="preserve"> 1.7218</t>
  </si>
  <si>
    <t xml:space="preserve"> 1.4661</t>
  </si>
  <si>
    <t xml:space="preserve"> -0.5192</t>
  </si>
  <si>
    <t xml:space="preserve"> 1.5553</t>
  </si>
  <si>
    <t xml:space="preserve"> 1.6305</t>
  </si>
  <si>
    <t xml:space="preserve"> -0.7889</t>
  </si>
  <si>
    <t xml:space="preserve"> 1.8113</t>
  </si>
  <si>
    <t xml:space="preserve"> 1.5452</t>
  </si>
  <si>
    <t xml:space="preserve"> -0.6563</t>
  </si>
  <si>
    <t xml:space="preserve"> 1.6788</t>
  </si>
  <si>
    <t xml:space="preserve"> 1.8030</t>
  </si>
  <si>
    <t xml:space="preserve"> 1.7460</t>
  </si>
  <si>
    <t xml:space="preserve"> 1.8332</t>
  </si>
  <si>
    <t xml:space="preserve"> 1.7918</t>
  </si>
  <si>
    <t xml:space="preserve"> -1.6710</t>
  </si>
  <si>
    <t xml:space="preserve"> -1.3683</t>
  </si>
  <si>
    <t xml:space="preserve"> 2.1598</t>
  </si>
  <si>
    <t xml:space="preserve"> -1.6261</t>
  </si>
  <si>
    <t xml:space="preserve"> -1.5059</t>
  </si>
  <si>
    <t xml:space="preserve"> 2.2163</t>
  </si>
  <si>
    <t xml:space="preserve"> -1.6871</t>
  </si>
  <si>
    <t xml:space="preserve"> -1.2683</t>
  </si>
  <si>
    <t xml:space="preserve"> 2.1107</t>
  </si>
  <si>
    <t xml:space="preserve"> -1.6531</t>
  </si>
  <si>
    <t xml:space="preserve"> -1.3727</t>
  </si>
  <si>
    <t xml:space="preserve"> 2.1487</t>
  </si>
  <si>
    <t xml:space="preserve"> -1.6489</t>
  </si>
  <si>
    <t xml:space="preserve"> 1.6489</t>
  </si>
  <si>
    <t xml:space="preserve"> -1.5939</t>
  </si>
  <si>
    <t xml:space="preserve"> 1.5939</t>
  </si>
  <si>
    <t xml:space="preserve"> -1.6797</t>
  </si>
  <si>
    <t xml:space="preserve"> 1.6797</t>
  </si>
  <si>
    <t xml:space="preserve"> -1.6419</t>
  </si>
  <si>
    <t xml:space="preserve"> 1.6419</t>
  </si>
  <si>
    <t>total</t>
  </si>
  <si>
    <t>molecule_method</t>
  </si>
  <si>
    <t>electronic part:</t>
  </si>
  <si>
    <t xml:space="preserve"> -10.2495</t>
  </si>
  <si>
    <t xml:space="preserve"> -12.1149</t>
  </si>
  <si>
    <t xml:space="preserve"> -10.3366</t>
  </si>
  <si>
    <t xml:space="preserve"> -12.0609</t>
  </si>
  <si>
    <t xml:space="preserve"> -10.1947</t>
  </si>
  <si>
    <t xml:space="preserve"> -12.1498</t>
  </si>
  <si>
    <t xml:space="preserve"> -10.2171</t>
  </si>
  <si>
    <t xml:space="preserve"> -12.0790</t>
  </si>
  <si>
    <t xml:space="preserve"> -10.3949</t>
  </si>
  <si>
    <t xml:space="preserve"> -12.0857</t>
  </si>
  <si>
    <t>step size</t>
  </si>
  <si>
    <t>Sorted:</t>
  </si>
  <si>
    <t>cbs_limit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</si>
</sst>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021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0" borderId="0" xfId="0" applyFont="1"/>
    <xf numFmtId="11" fontId="0" fillId="0" borderId="0" xfId="0" applyNumberFormat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2" borderId="1" xfId="0" applyNumberFormat="1" applyFont="1" applyFill="1" applyBorder="1"/>
    <xf numFmtId="0" fontId="0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1F70F4C-3851-40B8-A4A0-FA6D3EFADE5E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adrupoles" connectionId="1" xr16:uid="{C01EA748-C651-C44A-9A18-D15A2EC38D0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talenergies" connectionId="4" xr16:uid="{D1FA8922-6E7F-9F41-84A1-FA04D5B79BD7}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3D185A-841C-491C-8A6F-53415A714098}" name="dipoles" displayName="dipoles" ref="A1:E67" tableType="queryTable" totalsRowShown="0" dataCellStyle="Normal">
  <autoFilter ref="A1:E67" xr:uid="{0381777F-6F74-46F1-8C3B-5429A46253D9}"/>
  <tableColumns count="5">
    <tableColumn id="1" xr3:uid="{9F9982E1-5E24-4661-B100-1BC637E745EC}" uniqueName="1" name="molecule_method" queryTableFieldId="1" dataCellStyle="Normal"/>
    <tableColumn id="2" xr3:uid="{91EEEEC0-7E1B-4882-921F-320FCF1CB0B6}" uniqueName="2" name="X" queryTableFieldId="2" dataCellStyle="Normal"/>
    <tableColumn id="3" xr3:uid="{9AC228F6-E928-4E39-A87C-0B828A8D213C}" uniqueName="3" name="Y" queryTableFieldId="3" dataCellStyle="Normal"/>
    <tableColumn id="4" xr3:uid="{4BC5B42A-CDB6-4190-B64D-9E4AC0CD3442}" uniqueName="4" name="Z" queryTableFieldId="4" dataCellStyle="Normal"/>
    <tableColumn id="5" xr3:uid="{5EADE152-FFE7-4654-9016-32262CA79116}" uniqueName="5" name="total" queryTableFieldId="5" dataCellStyle="Norma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F6BE5-42E9-49A9-BEA1-00E93252BFC8}">
  <dimension ref="A1:O67"/>
  <sheetViews>
    <sheetView workbookViewId="0">
      <selection activeCell="H38" sqref="H38"/>
    </sheetView>
  </sheetViews>
  <sheetFormatPr defaultRowHeight="15" x14ac:dyDescent="0.25"/>
  <cols>
    <col min="1" max="1" width="19.85546875" bestFit="1" customWidth="1"/>
    <col min="2" max="2" width="7.7109375" customWidth="1"/>
    <col min="3" max="4" width="7.7109375" bestFit="1" customWidth="1"/>
    <col min="5" max="5" width="11.140625" bestFit="1" customWidth="1"/>
    <col min="7" max="7" width="16.5703125" customWidth="1"/>
    <col min="15" max="15" width="14.42578125" customWidth="1"/>
  </cols>
  <sheetData>
    <row r="1" spans="1:15" x14ac:dyDescent="0.25">
      <c r="A1" t="s">
        <v>154</v>
      </c>
      <c r="B1" t="s">
        <v>87</v>
      </c>
      <c r="C1" t="s">
        <v>79</v>
      </c>
      <c r="D1" t="s">
        <v>80</v>
      </c>
      <c r="E1" t="s">
        <v>153</v>
      </c>
      <c r="G1" t="s">
        <v>155</v>
      </c>
      <c r="H1" t="s">
        <v>87</v>
      </c>
      <c r="I1" t="s">
        <v>79</v>
      </c>
      <c r="J1" t="s">
        <v>80</v>
      </c>
      <c r="O1" t="s">
        <v>89</v>
      </c>
    </row>
    <row r="2" spans="1:15" x14ac:dyDescent="0.25">
      <c r="A2" t="s">
        <v>2</v>
      </c>
      <c r="B2">
        <v>0</v>
      </c>
      <c r="C2">
        <v>0</v>
      </c>
      <c r="D2">
        <v>-0.76700000000000002</v>
      </c>
      <c r="E2">
        <v>0.76700000000000002</v>
      </c>
      <c r="H2">
        <f>dipoles[[#This Row],[X]]*$O$2-'q,d_sum'!B2</f>
        <v>0</v>
      </c>
      <c r="I2">
        <f>dipoles[[#This Row],[Y]]*$O$2-'q,d_sum'!C2</f>
        <v>0</v>
      </c>
      <c r="J2">
        <f>dipoles[[#This Row],[Z]]*$O$2-'q,d_sum'!D2</f>
        <v>11.513775784899979</v>
      </c>
      <c r="O2">
        <v>0.39343030000000001</v>
      </c>
    </row>
    <row r="3" spans="1:15" x14ac:dyDescent="0.25">
      <c r="A3" t="s">
        <v>3</v>
      </c>
      <c r="B3" t="s">
        <v>94</v>
      </c>
      <c r="C3" t="s">
        <v>95</v>
      </c>
      <c r="D3" t="s">
        <v>96</v>
      </c>
      <c r="E3" t="s">
        <v>96</v>
      </c>
      <c r="H3">
        <f>dipoles[[#This Row],[X]]*$O$2-'q,d_sum'!B3</f>
        <v>0</v>
      </c>
      <c r="I3">
        <f>dipoles[[#This Row],[Y]]*$O$2-'q,d_sum'!C3</f>
        <v>0</v>
      </c>
      <c r="J3">
        <f>dipoles[[#This Row],[Z]]*$O$2-'q,d_sum'!D3</f>
        <v>12.112694730589979</v>
      </c>
    </row>
    <row r="4" spans="1:15" x14ac:dyDescent="0.25">
      <c r="A4" t="s">
        <v>4</v>
      </c>
      <c r="B4" t="s">
        <v>94</v>
      </c>
      <c r="C4" t="s">
        <v>95</v>
      </c>
      <c r="D4" t="s">
        <v>97</v>
      </c>
      <c r="E4" t="s">
        <v>97</v>
      </c>
      <c r="H4">
        <f>dipoles[[#This Row],[X]]*$O$2-'q,d_sum'!B4</f>
        <v>0</v>
      </c>
      <c r="I4">
        <f>dipoles[[#This Row],[Y]]*$O$2-'q,d_sum'!C4</f>
        <v>0</v>
      </c>
      <c r="J4">
        <f>dipoles[[#This Row],[Z]]*$O$2-'q,d_sum'!D4</f>
        <v>12.116668376619979</v>
      </c>
    </row>
    <row r="5" spans="1:15" x14ac:dyDescent="0.25">
      <c r="A5" t="s">
        <v>5</v>
      </c>
      <c r="B5" t="s">
        <v>95</v>
      </c>
      <c r="C5" t="s">
        <v>95</v>
      </c>
      <c r="D5" t="s">
        <v>98</v>
      </c>
      <c r="E5" t="s">
        <v>98</v>
      </c>
      <c r="H5">
        <f>dipoles[[#This Row],[X]]*$O$2-'q,d_sum'!B5</f>
        <v>0</v>
      </c>
      <c r="I5">
        <f>dipoles[[#This Row],[Y]]*$O$2-'q,d_sum'!C5</f>
        <v>0</v>
      </c>
      <c r="J5">
        <f>dipoles[[#This Row],[Z]]*$O$2-'q,d_sum'!D5</f>
        <v>12.108681741529979</v>
      </c>
    </row>
    <row r="6" spans="1:15" x14ac:dyDescent="0.25">
      <c r="A6" t="s">
        <v>6</v>
      </c>
      <c r="B6" t="s">
        <v>94</v>
      </c>
      <c r="C6" t="s">
        <v>94</v>
      </c>
      <c r="D6" t="s">
        <v>99</v>
      </c>
      <c r="E6" t="s">
        <v>99</v>
      </c>
      <c r="H6">
        <f>dipoles[[#This Row],[X]]*$O$2-'q,d_sum'!B6</f>
        <v>0</v>
      </c>
      <c r="I6">
        <f>dipoles[[#This Row],[Y]]*$O$2-'q,d_sum'!C6</f>
        <v>0</v>
      </c>
      <c r="J6">
        <f>dipoles[[#This Row],[Z]]*$O$2-'q,d_sum'!D6</f>
        <v>12.110688236059978</v>
      </c>
    </row>
    <row r="7" spans="1:15" x14ac:dyDescent="0.25">
      <c r="A7" t="s">
        <v>7</v>
      </c>
      <c r="B7" t="s">
        <v>94</v>
      </c>
      <c r="C7" t="s">
        <v>94</v>
      </c>
      <c r="D7" t="s">
        <v>97</v>
      </c>
      <c r="E7" t="s">
        <v>97</v>
      </c>
      <c r="H7">
        <f>dipoles[[#This Row],[X]]*$O$2-'q,d_sum'!B7</f>
        <v>0</v>
      </c>
      <c r="I7">
        <f>dipoles[[#This Row],[Y]]*$O$2-'q,d_sum'!C7</f>
        <v>0</v>
      </c>
      <c r="J7">
        <f>dipoles[[#This Row],[Z]]*$O$2-'q,d_sum'!D7</f>
        <v>12.116668376619979</v>
      </c>
    </row>
    <row r="8" spans="1:15" x14ac:dyDescent="0.25">
      <c r="A8" t="s">
        <v>8</v>
      </c>
      <c r="B8">
        <v>0</v>
      </c>
      <c r="C8">
        <v>0</v>
      </c>
      <c r="D8">
        <v>0</v>
      </c>
      <c r="E8">
        <v>0</v>
      </c>
      <c r="H8">
        <f>dipoles[[#This Row],[X]]*$O$2-'q,d_sum'!B8</f>
        <v>0</v>
      </c>
      <c r="I8">
        <f>dipoles[[#This Row],[Y]]*$O$2-'q,d_sum'!C8</f>
        <v>0</v>
      </c>
      <c r="J8">
        <f>dipoles[[#This Row],[Z]]*$O$2-'q,d_sum'!D8</f>
        <v>0</v>
      </c>
    </row>
    <row r="9" spans="1:15" x14ac:dyDescent="0.25">
      <c r="A9" t="s">
        <v>9</v>
      </c>
      <c r="B9" t="s">
        <v>95</v>
      </c>
      <c r="C9" t="s">
        <v>95</v>
      </c>
      <c r="D9" t="s">
        <v>95</v>
      </c>
      <c r="E9" t="s">
        <v>94</v>
      </c>
      <c r="H9">
        <f>dipoles[[#This Row],[X]]*$O$2-'q,d_sum'!B9</f>
        <v>0</v>
      </c>
      <c r="I9">
        <f>dipoles[[#This Row],[Y]]*$O$2-'q,d_sum'!C9</f>
        <v>0</v>
      </c>
      <c r="J9">
        <f>dipoles[[#This Row],[Z]]*$O$2-'q,d_sum'!D9</f>
        <v>0</v>
      </c>
    </row>
    <row r="10" spans="1:15" x14ac:dyDescent="0.25">
      <c r="A10" t="s">
        <v>10</v>
      </c>
      <c r="B10" t="s">
        <v>95</v>
      </c>
      <c r="C10" t="s">
        <v>95</v>
      </c>
      <c r="D10" t="s">
        <v>94</v>
      </c>
      <c r="E10" t="s">
        <v>94</v>
      </c>
      <c r="H10">
        <f>dipoles[[#This Row],[X]]*$O$2-'q,d_sum'!B10</f>
        <v>0</v>
      </c>
      <c r="I10">
        <f>dipoles[[#This Row],[Y]]*$O$2-'q,d_sum'!C10</f>
        <v>0</v>
      </c>
      <c r="J10">
        <f>dipoles[[#This Row],[Z]]*$O$2-'q,d_sum'!D10</f>
        <v>0</v>
      </c>
    </row>
    <row r="11" spans="1:15" x14ac:dyDescent="0.25">
      <c r="A11" t="s">
        <v>11</v>
      </c>
      <c r="B11" t="s">
        <v>95</v>
      </c>
      <c r="C11" t="s">
        <v>94</v>
      </c>
      <c r="D11" t="s">
        <v>95</v>
      </c>
      <c r="E11" t="s">
        <v>94</v>
      </c>
      <c r="H11">
        <f>dipoles[[#This Row],[X]]*$O$2-'q,d_sum'!B11</f>
        <v>0</v>
      </c>
      <c r="I11">
        <f>dipoles[[#This Row],[Y]]*$O$2-'q,d_sum'!C11</f>
        <v>0</v>
      </c>
      <c r="J11">
        <f>dipoles[[#This Row],[Z]]*$O$2-'q,d_sum'!D11</f>
        <v>0</v>
      </c>
    </row>
    <row r="12" spans="1:15" x14ac:dyDescent="0.25">
      <c r="A12" t="s">
        <v>12</v>
      </c>
      <c r="B12" t="s">
        <v>95</v>
      </c>
      <c r="C12" t="s">
        <v>95</v>
      </c>
      <c r="D12" t="s">
        <v>95</v>
      </c>
      <c r="E12" t="s">
        <v>94</v>
      </c>
      <c r="H12">
        <f>dipoles[[#This Row],[X]]*$O$2-'q,d_sum'!B12</f>
        <v>0</v>
      </c>
      <c r="I12">
        <f>dipoles[[#This Row],[Y]]*$O$2-'q,d_sum'!C12</f>
        <v>0</v>
      </c>
      <c r="J12">
        <f>dipoles[[#This Row],[Z]]*$O$2-'q,d_sum'!D12</f>
        <v>0</v>
      </c>
    </row>
    <row r="13" spans="1:15" x14ac:dyDescent="0.25">
      <c r="A13" t="s">
        <v>13</v>
      </c>
      <c r="B13" t="s">
        <v>94</v>
      </c>
      <c r="C13" t="s">
        <v>95</v>
      </c>
      <c r="D13" t="s">
        <v>95</v>
      </c>
      <c r="E13" t="s">
        <v>94</v>
      </c>
      <c r="H13">
        <f>dipoles[[#This Row],[X]]*$O$2-'q,d_sum'!B13</f>
        <v>0</v>
      </c>
      <c r="I13">
        <f>dipoles[[#This Row],[Y]]*$O$2-'q,d_sum'!C13</f>
        <v>0</v>
      </c>
      <c r="J13">
        <f>dipoles[[#This Row],[Z]]*$O$2-'q,d_sum'!D13</f>
        <v>0</v>
      </c>
    </row>
    <row r="14" spans="1:15" x14ac:dyDescent="0.25">
      <c r="A14" t="s">
        <v>14</v>
      </c>
      <c r="B14">
        <v>0</v>
      </c>
      <c r="C14">
        <v>0</v>
      </c>
      <c r="D14">
        <v>-1.5660000000000001</v>
      </c>
      <c r="E14">
        <v>1.5660000000000001</v>
      </c>
      <c r="H14">
        <f>dipoles[[#This Row],[X]]*$O$2-'q,d_sum'!B14</f>
        <v>0</v>
      </c>
      <c r="I14">
        <f>dipoles[[#This Row],[Y]]*$O$2-'q,d_sum'!C14</f>
        <v>0</v>
      </c>
      <c r="J14">
        <f>dipoles[[#This Row],[Z]]*$O$2-'q,d_sum'!D14</f>
        <v>-13.902425533799981</v>
      </c>
    </row>
    <row r="15" spans="1:15" x14ac:dyDescent="0.25">
      <c r="A15" t="s">
        <v>15</v>
      </c>
      <c r="B15" t="s">
        <v>95</v>
      </c>
      <c r="C15" t="s">
        <v>95</v>
      </c>
      <c r="D15" t="s">
        <v>100</v>
      </c>
      <c r="E15" t="s">
        <v>100</v>
      </c>
      <c r="H15">
        <f>dipoles[[#This Row],[X]]*$O$2-'q,d_sum'!B15</f>
        <v>0</v>
      </c>
      <c r="I15">
        <f>dipoles[[#This Row],[Y]]*$O$2-'q,d_sum'!C15</f>
        <v>0</v>
      </c>
      <c r="J15">
        <f>dipoles[[#This Row],[Z]]*$O$2-'q,d_sum'!D15</f>
        <v>-12.703840124849982</v>
      </c>
    </row>
    <row r="16" spans="1:15" x14ac:dyDescent="0.25">
      <c r="A16" t="s">
        <v>16</v>
      </c>
      <c r="B16" t="s">
        <v>94</v>
      </c>
      <c r="C16" t="s">
        <v>95</v>
      </c>
      <c r="D16" t="s">
        <v>101</v>
      </c>
      <c r="E16" t="s">
        <v>101</v>
      </c>
      <c r="H16">
        <f>dipoles[[#This Row],[X]]*$O$2-'q,d_sum'!B16</f>
        <v>0</v>
      </c>
      <c r="I16">
        <f>dipoles[[#This Row],[Y]]*$O$2-'q,d_sum'!C16</f>
        <v>0</v>
      </c>
      <c r="J16">
        <f>dipoles[[#This Row],[Z]]*$O$2-'q,d_sum'!D16</f>
        <v>-12.832924606279981</v>
      </c>
    </row>
    <row r="17" spans="1:10" x14ac:dyDescent="0.25">
      <c r="A17" t="s">
        <v>17</v>
      </c>
      <c r="B17" t="s">
        <v>95</v>
      </c>
      <c r="C17" t="s">
        <v>94</v>
      </c>
      <c r="D17" t="s">
        <v>102</v>
      </c>
      <c r="E17" t="s">
        <v>102</v>
      </c>
      <c r="H17">
        <f>dipoles[[#This Row],[X]]*$O$2-'q,d_sum'!B17</f>
        <v>0</v>
      </c>
      <c r="I17">
        <f>dipoles[[#This Row],[Y]]*$O$2-'q,d_sum'!C17</f>
        <v>0</v>
      </c>
      <c r="J17">
        <f>dipoles[[#This Row],[Z]]*$O$2-'q,d_sum'!D17</f>
        <v>-12.616537941279981</v>
      </c>
    </row>
    <row r="18" spans="1:10" x14ac:dyDescent="0.25">
      <c r="A18" t="s">
        <v>18</v>
      </c>
      <c r="B18" t="s">
        <v>94</v>
      </c>
      <c r="C18" t="s">
        <v>95</v>
      </c>
      <c r="D18" t="s">
        <v>103</v>
      </c>
      <c r="E18" t="s">
        <v>103</v>
      </c>
      <c r="H18">
        <f>dipoles[[#This Row],[X]]*$O$2-'q,d_sum'!B18</f>
        <v>0</v>
      </c>
      <c r="I18">
        <f>dipoles[[#This Row],[Y]]*$O$2-'q,d_sum'!C18</f>
        <v>0</v>
      </c>
      <c r="J18">
        <f>dipoles[[#This Row],[Z]]*$O$2-'q,d_sum'!D18</f>
        <v>-12.719616679879982</v>
      </c>
    </row>
    <row r="19" spans="1:10" x14ac:dyDescent="0.25">
      <c r="A19" t="s">
        <v>19</v>
      </c>
      <c r="B19" t="s">
        <v>94</v>
      </c>
      <c r="C19" t="s">
        <v>95</v>
      </c>
      <c r="D19" t="s">
        <v>101</v>
      </c>
      <c r="E19" t="s">
        <v>101</v>
      </c>
      <c r="H19">
        <f>dipoles[[#This Row],[X]]*$O$2-'q,d_sum'!B19</f>
        <v>0</v>
      </c>
      <c r="I19">
        <f>dipoles[[#This Row],[Y]]*$O$2-'q,d_sum'!C19</f>
        <v>0</v>
      </c>
      <c r="J19">
        <f>dipoles[[#This Row],[Z]]*$O$2-'q,d_sum'!D19</f>
        <v>-12.832924606279981</v>
      </c>
    </row>
    <row r="20" spans="1:10" x14ac:dyDescent="0.25">
      <c r="A20" t="s">
        <v>26</v>
      </c>
      <c r="B20">
        <v>0</v>
      </c>
      <c r="C20">
        <v>0</v>
      </c>
      <c r="D20">
        <v>6.8000000000000005E-2</v>
      </c>
      <c r="E20">
        <v>6.8000000000000005E-2</v>
      </c>
      <c r="H20">
        <f>dipoles[[#This Row],[X]]*$O$2-'q,d_sum'!B20</f>
        <v>0</v>
      </c>
      <c r="I20">
        <f>dipoles[[#This Row],[Y]]*$O$2-'q,d_sum'!C20</f>
        <v>0</v>
      </c>
      <c r="J20">
        <f>dipoles[[#This Row],[Z]]*$O$2-'q,d_sum'!D20</f>
        <v>2.6753260400000003E-2</v>
      </c>
    </row>
    <row r="21" spans="1:10" x14ac:dyDescent="0.25">
      <c r="A21" t="s">
        <v>27</v>
      </c>
      <c r="B21" t="s">
        <v>94</v>
      </c>
      <c r="C21" t="s">
        <v>95</v>
      </c>
      <c r="D21" t="s">
        <v>104</v>
      </c>
      <c r="E21" t="s">
        <v>104</v>
      </c>
      <c r="H21">
        <f>dipoles[[#This Row],[X]]*$O$2-'q,d_sum'!B21</f>
        <v>0</v>
      </c>
      <c r="I21">
        <f>dipoles[[#This Row],[Y]]*$O$2-'q,d_sum'!C21</f>
        <v>0</v>
      </c>
      <c r="J21">
        <f>dipoles[[#This Row],[Z]]*$O$2-'q,d_sum'!D21</f>
        <v>4.0051204540000003E-2</v>
      </c>
    </row>
    <row r="22" spans="1:10" x14ac:dyDescent="0.25">
      <c r="A22" t="s">
        <v>29</v>
      </c>
      <c r="B22" t="s">
        <v>95</v>
      </c>
      <c r="C22" t="s">
        <v>94</v>
      </c>
      <c r="D22" t="s">
        <v>105</v>
      </c>
      <c r="E22" t="s">
        <v>105</v>
      </c>
      <c r="H22">
        <f>dipoles[[#This Row],[X]]*$O$2-'q,d_sum'!B22</f>
        <v>0</v>
      </c>
      <c r="I22">
        <f>dipoles[[#This Row],[Y]]*$O$2-'q,d_sum'!C22</f>
        <v>0</v>
      </c>
      <c r="J22">
        <f>dipoles[[#This Row],[Z]]*$O$2-'q,d_sum'!D22</f>
        <v>8.8089044169999992E-2</v>
      </c>
    </row>
    <row r="23" spans="1:10" x14ac:dyDescent="0.25">
      <c r="A23" t="s">
        <v>30</v>
      </c>
      <c r="B23" t="s">
        <v>94</v>
      </c>
      <c r="C23" t="s">
        <v>94</v>
      </c>
      <c r="D23" t="s">
        <v>106</v>
      </c>
      <c r="E23" t="s">
        <v>106</v>
      </c>
      <c r="H23">
        <f>dipoles[[#This Row],[X]]*$O$2-'q,d_sum'!B23</f>
        <v>0</v>
      </c>
      <c r="I23">
        <f>dipoles[[#This Row],[Y]]*$O$2-'q,d_sum'!C23</f>
        <v>0</v>
      </c>
      <c r="J23">
        <f>dipoles[[#This Row],[Z]]*$O$2-'q,d_sum'!D23</f>
        <v>1.2668455659999999E-2</v>
      </c>
    </row>
    <row r="24" spans="1:10" x14ac:dyDescent="0.25">
      <c r="A24" t="s">
        <v>31</v>
      </c>
      <c r="B24" t="s">
        <v>95</v>
      </c>
      <c r="C24" t="s">
        <v>95</v>
      </c>
      <c r="D24" t="s">
        <v>107</v>
      </c>
      <c r="E24" t="s">
        <v>107</v>
      </c>
      <c r="H24">
        <f>dipoles[[#This Row],[X]]*$O$2-'q,d_sum'!B24</f>
        <v>0</v>
      </c>
      <c r="I24">
        <f>dipoles[[#This Row],[Y]]*$O$2-'q,d_sum'!C24</f>
        <v>0</v>
      </c>
      <c r="J24">
        <f>dipoles[[#This Row],[Z]]*$O$2-'q,d_sum'!D24</f>
        <v>5.1854113540000003E-2</v>
      </c>
    </row>
    <row r="25" spans="1:10" x14ac:dyDescent="0.25">
      <c r="A25" t="s">
        <v>32</v>
      </c>
      <c r="B25" t="s">
        <v>95</v>
      </c>
      <c r="C25" t="s">
        <v>94</v>
      </c>
      <c r="D25" t="s">
        <v>108</v>
      </c>
      <c r="E25" t="s">
        <v>108</v>
      </c>
      <c r="H25">
        <f>dipoles[[#This Row],[X]]*$O$2-'q,d_sum'!B25</f>
        <v>0</v>
      </c>
      <c r="I25">
        <f>dipoles[[#This Row],[Y]]*$O$2-'q,d_sum'!C25</f>
        <v>0</v>
      </c>
      <c r="J25">
        <f>dipoles[[#This Row],[Z]]*$O$2-'q,d_sum'!D25</f>
        <v>9.0095538700000005E-2</v>
      </c>
    </row>
    <row r="26" spans="1:10" x14ac:dyDescent="0.25">
      <c r="A26" t="s">
        <v>20</v>
      </c>
      <c r="B26">
        <v>0</v>
      </c>
      <c r="C26">
        <v>0</v>
      </c>
      <c r="D26">
        <v>0</v>
      </c>
      <c r="E26">
        <v>0</v>
      </c>
      <c r="H26">
        <f>dipoles[[#This Row],[X]]*$O$2-'q,d_sum'!B26</f>
        <v>0</v>
      </c>
      <c r="I26">
        <f>dipoles[[#This Row],[Y]]*$O$2-'q,d_sum'!C26</f>
        <v>0</v>
      </c>
      <c r="J26">
        <f>dipoles[[#This Row],[Z]]*$O$2-'q,d_sum'!D26</f>
        <v>-17.055947088</v>
      </c>
    </row>
    <row r="27" spans="1:10" x14ac:dyDescent="0.25">
      <c r="A27" t="s">
        <v>21</v>
      </c>
      <c r="B27" t="s">
        <v>95</v>
      </c>
      <c r="C27" t="s">
        <v>95</v>
      </c>
      <c r="D27" t="s">
        <v>94</v>
      </c>
      <c r="E27" t="s">
        <v>94</v>
      </c>
      <c r="H27">
        <f>dipoles[[#This Row],[X]]*$O$2-'q,d_sum'!B27</f>
        <v>0</v>
      </c>
      <c r="I27">
        <f>dipoles[[#This Row],[Y]]*$O$2-'q,d_sum'!C27</f>
        <v>0</v>
      </c>
      <c r="J27">
        <f>dipoles[[#This Row],[Z]]*$O$2-'q,d_sum'!D27</f>
        <v>-17.055947088</v>
      </c>
    </row>
    <row r="28" spans="1:10" x14ac:dyDescent="0.25">
      <c r="A28" t="s">
        <v>22</v>
      </c>
      <c r="B28" t="s">
        <v>94</v>
      </c>
      <c r="C28" t="s">
        <v>94</v>
      </c>
      <c r="D28" t="s">
        <v>95</v>
      </c>
      <c r="E28" t="s">
        <v>94</v>
      </c>
      <c r="H28">
        <f>dipoles[[#This Row],[X]]*$O$2-'q,d_sum'!B28</f>
        <v>0</v>
      </c>
      <c r="I28">
        <f>dipoles[[#This Row],[Y]]*$O$2-'q,d_sum'!C28</f>
        <v>0</v>
      </c>
      <c r="J28">
        <f>dipoles[[#This Row],[Z]]*$O$2-'q,d_sum'!D28</f>
        <v>-17.055947088</v>
      </c>
    </row>
    <row r="29" spans="1:10" x14ac:dyDescent="0.25">
      <c r="A29" t="s">
        <v>23</v>
      </c>
      <c r="B29" t="s">
        <v>94</v>
      </c>
      <c r="C29" t="s">
        <v>94</v>
      </c>
      <c r="D29" t="s">
        <v>94</v>
      </c>
      <c r="E29" t="s">
        <v>94</v>
      </c>
      <c r="H29">
        <f>dipoles[[#This Row],[X]]*$O$2-'q,d_sum'!B29</f>
        <v>0</v>
      </c>
      <c r="I29">
        <f>dipoles[[#This Row],[Y]]*$O$2-'q,d_sum'!C29</f>
        <v>0</v>
      </c>
      <c r="J29">
        <f>dipoles[[#This Row],[Z]]*$O$2-'q,d_sum'!D29</f>
        <v>-17.055947088</v>
      </c>
    </row>
    <row r="30" spans="1:10" x14ac:dyDescent="0.25">
      <c r="A30" t="s">
        <v>24</v>
      </c>
      <c r="B30" t="s">
        <v>95</v>
      </c>
      <c r="C30" t="s">
        <v>95</v>
      </c>
      <c r="D30" t="s">
        <v>94</v>
      </c>
      <c r="E30" t="s">
        <v>94</v>
      </c>
      <c r="H30">
        <f>dipoles[[#This Row],[X]]*$O$2-'q,d_sum'!B30</f>
        <v>0</v>
      </c>
      <c r="I30">
        <f>dipoles[[#This Row],[Y]]*$O$2-'q,d_sum'!C30</f>
        <v>0</v>
      </c>
      <c r="J30">
        <f>dipoles[[#This Row],[Z]]*$O$2-'q,d_sum'!D30</f>
        <v>-17.055947088</v>
      </c>
    </row>
    <row r="31" spans="1:10" x14ac:dyDescent="0.25">
      <c r="A31" t="s">
        <v>25</v>
      </c>
      <c r="B31" t="s">
        <v>94</v>
      </c>
      <c r="C31" t="s">
        <v>95</v>
      </c>
      <c r="D31" t="s">
        <v>94</v>
      </c>
      <c r="E31" t="s">
        <v>94</v>
      </c>
      <c r="H31">
        <f>dipoles[[#This Row],[X]]*$O$2-'q,d_sum'!B31</f>
        <v>0</v>
      </c>
      <c r="I31">
        <f>dipoles[[#This Row],[Y]]*$O$2-'q,d_sum'!C31</f>
        <v>0</v>
      </c>
      <c r="J31">
        <f>dipoles[[#This Row],[Z]]*$O$2-'q,d_sum'!D31</f>
        <v>-17.055947088</v>
      </c>
    </row>
    <row r="32" spans="1:10" x14ac:dyDescent="0.25">
      <c r="A32" t="s">
        <v>33</v>
      </c>
      <c r="B32">
        <v>0</v>
      </c>
      <c r="C32">
        <v>0</v>
      </c>
      <c r="D32">
        <v>-1.863</v>
      </c>
      <c r="E32">
        <v>1.863</v>
      </c>
      <c r="H32">
        <f>dipoles[[#This Row],[X]]*$O$2-'q,d_sum'!B32</f>
        <v>0</v>
      </c>
      <c r="I32">
        <f>dipoles[[#This Row],[Y]]*$O$2-'q,d_sum'!C32</f>
        <v>0</v>
      </c>
      <c r="J32">
        <f>dipoles[[#This Row],[Z]]*$O$2-'q,d_sum'!D32</f>
        <v>-0.73296064890000001</v>
      </c>
    </row>
    <row r="33" spans="1:10" x14ac:dyDescent="0.25">
      <c r="A33" t="s">
        <v>34</v>
      </c>
      <c r="B33" t="s">
        <v>94</v>
      </c>
      <c r="C33" t="s">
        <v>95</v>
      </c>
      <c r="D33" t="s">
        <v>109</v>
      </c>
      <c r="E33" t="s">
        <v>110</v>
      </c>
      <c r="H33">
        <f>dipoles[[#This Row],[X]]*$O$2-'q,d_sum'!B33</f>
        <v>0</v>
      </c>
      <c r="I33">
        <f>dipoles[[#This Row],[Y]]*$O$2-'q,d_sum'!C33</f>
        <v>0</v>
      </c>
      <c r="J33">
        <f>dipoles[[#This Row],[Z]]*$O$2-'q,d_sum'!D33</f>
        <v>-0.73095415437000011</v>
      </c>
    </row>
    <row r="34" spans="1:10" x14ac:dyDescent="0.25">
      <c r="A34" t="s">
        <v>35</v>
      </c>
      <c r="B34" t="s">
        <v>95</v>
      </c>
      <c r="C34" t="s">
        <v>95</v>
      </c>
      <c r="D34" t="s">
        <v>111</v>
      </c>
      <c r="E34" t="s">
        <v>112</v>
      </c>
      <c r="H34">
        <f>dipoles[[#This Row],[X]]*$O$2-'q,d_sum'!B34</f>
        <v>0</v>
      </c>
      <c r="I34">
        <f>dipoles[[#This Row],[Y]]*$O$2-'q,d_sum'!C34</f>
        <v>0</v>
      </c>
      <c r="J34">
        <f>dipoles[[#This Row],[Z]]*$O$2-'q,d_sum'!D34</f>
        <v>-0.70616804547000001</v>
      </c>
    </row>
    <row r="35" spans="1:10" x14ac:dyDescent="0.25">
      <c r="A35" t="s">
        <v>36</v>
      </c>
      <c r="B35" t="s">
        <v>95</v>
      </c>
      <c r="C35" t="s">
        <v>94</v>
      </c>
      <c r="D35" t="s">
        <v>113</v>
      </c>
      <c r="E35" t="s">
        <v>114</v>
      </c>
      <c r="H35">
        <f>dipoles[[#This Row],[X]]*$O$2-'q,d_sum'!B35</f>
        <v>0</v>
      </c>
      <c r="I35">
        <f>dipoles[[#This Row],[Y]]*$O$2-'q,d_sum'!C35</f>
        <v>0</v>
      </c>
      <c r="J35">
        <f>dipoles[[#This Row],[Z]]*$O$2-'q,d_sum'!D35</f>
        <v>-0.74173414458999998</v>
      </c>
    </row>
    <row r="36" spans="1:10" x14ac:dyDescent="0.25">
      <c r="A36" t="s">
        <v>37</v>
      </c>
      <c r="B36" t="s">
        <v>95</v>
      </c>
      <c r="C36" t="s">
        <v>95</v>
      </c>
      <c r="D36" t="s">
        <v>115</v>
      </c>
      <c r="E36" t="s">
        <v>116</v>
      </c>
      <c r="H36">
        <f>dipoles[[#This Row],[X]]*$O$2-'q,d_sum'!B36</f>
        <v>0</v>
      </c>
      <c r="I36">
        <f>dipoles[[#This Row],[Y]]*$O$2-'q,d_sum'!C36</f>
        <v>0</v>
      </c>
      <c r="J36">
        <f>dipoles[[#This Row],[Z]]*$O$2-'q,d_sum'!D36</f>
        <v>-0.72375437988000002</v>
      </c>
    </row>
    <row r="37" spans="1:10" x14ac:dyDescent="0.25">
      <c r="A37" t="s">
        <v>38</v>
      </c>
      <c r="B37" t="s">
        <v>95</v>
      </c>
      <c r="C37" t="s">
        <v>94</v>
      </c>
      <c r="D37" t="s">
        <v>111</v>
      </c>
      <c r="E37" t="s">
        <v>112</v>
      </c>
      <c r="H37">
        <f>dipoles[[#This Row],[X]]*$O$2-'q,d_sum'!B37</f>
        <v>0</v>
      </c>
      <c r="I37">
        <f>dipoles[[#This Row],[Y]]*$O$2-'q,d_sum'!C37</f>
        <v>0</v>
      </c>
      <c r="J37">
        <f>dipoles[[#This Row],[Z]]*$O$2-'q,d_sum'!D37</f>
        <v>-0.70616804547000001</v>
      </c>
    </row>
    <row r="38" spans="1:10" x14ac:dyDescent="0.25">
      <c r="A38" t="s">
        <v>39</v>
      </c>
      <c r="B38" t="s">
        <v>28</v>
      </c>
      <c r="C38" t="s">
        <v>93</v>
      </c>
      <c r="D38" t="s">
        <v>93</v>
      </c>
      <c r="E38" t="s">
        <v>93</v>
      </c>
      <c r="H38" t="e">
        <f>dipoles[[#This Row],[X]]*$O$2-'q,d_sum'!B38</f>
        <v>#VALUE!</v>
      </c>
      <c r="I38" t="e">
        <f>dipoles[[#This Row],[Y]]*$O$2-'q,d_sum'!C38</f>
        <v>#VALUE!</v>
      </c>
      <c r="J38" t="e">
        <f>dipoles[[#This Row],[Z]]*$O$2-'q,d_sum'!D38</f>
        <v>#VALUE!</v>
      </c>
    </row>
    <row r="39" spans="1:10" x14ac:dyDescent="0.25">
      <c r="A39" t="s">
        <v>40</v>
      </c>
      <c r="B39" t="s">
        <v>117</v>
      </c>
      <c r="C39" t="s">
        <v>118</v>
      </c>
      <c r="D39" t="s">
        <v>94</v>
      </c>
      <c r="E39" t="s">
        <v>119</v>
      </c>
      <c r="H39">
        <f>dipoles[[#This Row],[X]]*$O$2-'q,d_sum'!B39</f>
        <v>7.4989613481799804</v>
      </c>
      <c r="I39">
        <f>dipoles[[#This Row],[Y]]*$O$2-'q,d_sum'!C39</f>
        <v>-16.032005976839997</v>
      </c>
      <c r="J39">
        <f>dipoles[[#This Row],[Z]]*$O$2-'q,d_sum'!D39</f>
        <v>0</v>
      </c>
    </row>
    <row r="40" spans="1:10" x14ac:dyDescent="0.25">
      <c r="A40" t="s">
        <v>41</v>
      </c>
      <c r="B40" t="s">
        <v>120</v>
      </c>
      <c r="C40" t="s">
        <v>121</v>
      </c>
      <c r="D40" t="s">
        <v>95</v>
      </c>
      <c r="E40" t="s">
        <v>122</v>
      </c>
      <c r="H40">
        <f>dipoles[[#This Row],[X]]*$O$2-'q,d_sum'!B40</f>
        <v>7.4539135788299804</v>
      </c>
      <c r="I40">
        <f>dipoles[[#This Row],[Y]]*$O$2-'q,d_sum'!C40</f>
        <v>-15.967640779759998</v>
      </c>
      <c r="J40">
        <f>dipoles[[#This Row],[Z]]*$O$2-'q,d_sum'!D40</f>
        <v>0</v>
      </c>
    </row>
    <row r="41" spans="1:10" x14ac:dyDescent="0.25">
      <c r="A41" t="s">
        <v>42</v>
      </c>
      <c r="B41" t="s">
        <v>123</v>
      </c>
      <c r="C41" t="s">
        <v>124</v>
      </c>
      <c r="D41" t="s">
        <v>95</v>
      </c>
      <c r="E41" t="s">
        <v>125</v>
      </c>
      <c r="H41">
        <f>dipoles[[#This Row],[X]]*$O$2-'q,d_sum'!B41</f>
        <v>7.5185935201499809</v>
      </c>
      <c r="I41">
        <f>dipoles[[#This Row],[Y]]*$O$2-'q,d_sum'!C41</f>
        <v>-16.07374893167</v>
      </c>
      <c r="J41">
        <f>dipoles[[#This Row],[Z]]*$O$2-'q,d_sum'!D41</f>
        <v>0</v>
      </c>
    </row>
    <row r="42" spans="1:10" x14ac:dyDescent="0.25">
      <c r="A42" t="s">
        <v>43</v>
      </c>
      <c r="B42" t="s">
        <v>126</v>
      </c>
      <c r="C42" t="s">
        <v>127</v>
      </c>
      <c r="D42" t="s">
        <v>95</v>
      </c>
      <c r="E42" t="s">
        <v>128</v>
      </c>
      <c r="H42">
        <f>dipoles[[#This Row],[X]]*$O$2-'q,d_sum'!B42</f>
        <v>7.4850339155599803</v>
      </c>
      <c r="I42">
        <f>dipoles[[#This Row],[Y]]*$O$2-'q,d_sum'!C42</f>
        <v>-16.02158007389</v>
      </c>
      <c r="J42">
        <f>dipoles[[#This Row],[Z]]*$O$2-'q,d_sum'!D42</f>
        <v>0</v>
      </c>
    </row>
    <row r="43" spans="1:10" x14ac:dyDescent="0.25">
      <c r="A43" t="s">
        <v>44</v>
      </c>
      <c r="B43" t="s">
        <v>120</v>
      </c>
      <c r="C43" t="s">
        <v>121</v>
      </c>
      <c r="D43" t="s">
        <v>95</v>
      </c>
      <c r="E43" t="s">
        <v>122</v>
      </c>
      <c r="H43">
        <f>dipoles[[#This Row],[X]]*$O$2-'q,d_sum'!B43</f>
        <v>7.4539135788299804</v>
      </c>
      <c r="I43">
        <f>dipoles[[#This Row],[Y]]*$O$2-'q,d_sum'!C43</f>
        <v>-15.967640779759998</v>
      </c>
      <c r="J43">
        <f>dipoles[[#This Row],[Z]]*$O$2-'q,d_sum'!D43</f>
        <v>0</v>
      </c>
    </row>
    <row r="44" spans="1:10" x14ac:dyDescent="0.25">
      <c r="A44" t="s">
        <v>45</v>
      </c>
      <c r="B44">
        <v>0</v>
      </c>
      <c r="C44">
        <v>0</v>
      </c>
      <c r="D44">
        <v>-1.81</v>
      </c>
      <c r="E44">
        <v>1.81</v>
      </c>
      <c r="H44">
        <f>dipoles[[#This Row],[X]]*$O$2-'q,d_sum'!B44</f>
        <v>0</v>
      </c>
      <c r="I44">
        <f>dipoles[[#This Row],[Y]]*$O$2-'q,d_sum'!C44</f>
        <v>0</v>
      </c>
      <c r="J44">
        <f>dipoles[[#This Row],[Z]]*$O$2-'q,d_sum'!D44</f>
        <v>-2.444613307</v>
      </c>
    </row>
    <row r="45" spans="1:10" x14ac:dyDescent="0.25">
      <c r="A45" t="s">
        <v>46</v>
      </c>
      <c r="B45" t="s">
        <v>95</v>
      </c>
      <c r="C45" t="s">
        <v>94</v>
      </c>
      <c r="D45" t="s">
        <v>129</v>
      </c>
      <c r="E45" t="s">
        <v>129</v>
      </c>
      <c r="H45">
        <f>dipoles[[#This Row],[X]]*$O$2-'q,d_sum'!B45</f>
        <v>0</v>
      </c>
      <c r="I45">
        <f>dipoles[[#This Row],[Y]]*$O$2-'q,d_sum'!C45</f>
        <v>0</v>
      </c>
      <c r="J45">
        <f>dipoles[[#This Row],[Z]]*$O$2-'q,d_sum'!D45</f>
        <v>-1.0231496330999998</v>
      </c>
    </row>
    <row r="46" spans="1:10" x14ac:dyDescent="0.25">
      <c r="A46" t="s">
        <v>47</v>
      </c>
      <c r="B46" t="s">
        <v>94</v>
      </c>
      <c r="C46" t="s">
        <v>94</v>
      </c>
      <c r="D46" t="s">
        <v>130</v>
      </c>
      <c r="E46" t="s">
        <v>130</v>
      </c>
      <c r="H46">
        <f>dipoles[[#This Row],[X]]*$O$2-'q,d_sum'!B46</f>
        <v>0</v>
      </c>
      <c r="I46">
        <f>dipoles[[#This Row],[Y]]*$O$2-'q,d_sum'!C46</f>
        <v>0</v>
      </c>
      <c r="J46">
        <f>dipoles[[#This Row],[Z]]*$O$2-'q,d_sum'!D46</f>
        <v>-1.0455751601999999</v>
      </c>
    </row>
    <row r="47" spans="1:10" x14ac:dyDescent="0.25">
      <c r="A47" t="s">
        <v>48</v>
      </c>
      <c r="B47" t="s">
        <v>94</v>
      </c>
      <c r="C47" t="s">
        <v>94</v>
      </c>
      <c r="D47" t="s">
        <v>131</v>
      </c>
      <c r="E47" t="s">
        <v>131</v>
      </c>
      <c r="H47">
        <f>dipoles[[#This Row],[X]]*$O$2-'q,d_sum'!B47</f>
        <v>0</v>
      </c>
      <c r="I47">
        <f>dipoles[[#This Row],[Y]]*$O$2-'q,d_sum'!C47</f>
        <v>0</v>
      </c>
      <c r="J47">
        <f>dipoles[[#This Row],[Z]]*$O$2-'q,d_sum'!D47</f>
        <v>-1.0112680380399999</v>
      </c>
    </row>
    <row r="48" spans="1:10" x14ac:dyDescent="0.25">
      <c r="A48" t="s">
        <v>49</v>
      </c>
      <c r="B48" t="s">
        <v>95</v>
      </c>
      <c r="C48" t="s">
        <v>95</v>
      </c>
      <c r="D48" t="s">
        <v>132</v>
      </c>
      <c r="E48" t="s">
        <v>132</v>
      </c>
      <c r="H48">
        <f>dipoles[[#This Row],[X]]*$O$2-'q,d_sum'!B48</f>
        <v>0</v>
      </c>
      <c r="I48">
        <f>dipoles[[#This Row],[Y]]*$O$2-'q,d_sum'!C48</f>
        <v>0</v>
      </c>
      <c r="J48">
        <f>dipoles[[#This Row],[Z]]*$O$2-'q,d_sum'!D48</f>
        <v>-1.0275560524599996</v>
      </c>
    </row>
    <row r="49" spans="1:10" x14ac:dyDescent="0.25">
      <c r="A49" t="s">
        <v>50</v>
      </c>
      <c r="B49" t="s">
        <v>95</v>
      </c>
      <c r="C49" t="s">
        <v>95</v>
      </c>
      <c r="D49" t="s">
        <v>130</v>
      </c>
      <c r="E49" t="s">
        <v>130</v>
      </c>
      <c r="H49">
        <f>dipoles[[#This Row],[X]]*$O$2-'q,d_sum'!B49</f>
        <v>0</v>
      </c>
      <c r="I49">
        <f>dipoles[[#This Row],[Y]]*$O$2-'q,d_sum'!C49</f>
        <v>0</v>
      </c>
      <c r="J49">
        <f>dipoles[[#This Row],[Z]]*$O$2-'q,d_sum'!D49</f>
        <v>-1.0455751601999999</v>
      </c>
    </row>
    <row r="50" spans="1:10" x14ac:dyDescent="0.25">
      <c r="A50" t="s">
        <v>51</v>
      </c>
      <c r="B50">
        <v>-1.673</v>
      </c>
      <c r="C50">
        <v>-1.33</v>
      </c>
      <c r="D50">
        <v>0</v>
      </c>
      <c r="E50">
        <v>2.1379999999999999</v>
      </c>
      <c r="H50">
        <f>dipoles[[#This Row],[X]]*$O$2-'q,d_sum'!B50</f>
        <v>-0.65726402690000008</v>
      </c>
      <c r="I50">
        <f>dipoles[[#This Row],[Y]]*$O$2-'q,d_sum'!C50</f>
        <v>-0.52326229900000054</v>
      </c>
      <c r="J50">
        <f>dipoles[[#This Row],[Z]]*$O$2-'q,d_sum'!D50</f>
        <v>0</v>
      </c>
    </row>
    <row r="51" spans="1:10" x14ac:dyDescent="0.25">
      <c r="A51" t="s">
        <v>52</v>
      </c>
      <c r="B51" t="s">
        <v>133</v>
      </c>
      <c r="C51" t="s">
        <v>134</v>
      </c>
      <c r="D51" t="s">
        <v>95</v>
      </c>
      <c r="E51" t="s">
        <v>135</v>
      </c>
      <c r="H51">
        <f>dipoles[[#This Row],[X]]*$O$2-'q,d_sum'!B51</f>
        <v>-0.65647716630000008</v>
      </c>
      <c r="I51">
        <f>dipoles[[#This Row],[Y]]*$O$2-'q,d_sum'!C51</f>
        <v>-0.53833067949000046</v>
      </c>
      <c r="J51">
        <f>dipoles[[#This Row],[Z]]*$O$2-'q,d_sum'!D51</f>
        <v>0</v>
      </c>
    </row>
    <row r="52" spans="1:10" x14ac:dyDescent="0.25">
      <c r="A52" t="s">
        <v>53</v>
      </c>
      <c r="B52" t="s">
        <v>136</v>
      </c>
      <c r="C52" t="s">
        <v>137</v>
      </c>
      <c r="D52" t="s">
        <v>94</v>
      </c>
      <c r="E52" t="s">
        <v>138</v>
      </c>
      <c r="H52">
        <f>dipoles[[#This Row],[X]]*$O$2-'q,d_sum'!B52</f>
        <v>-0.63881214583000012</v>
      </c>
      <c r="I52">
        <f>dipoles[[#This Row],[Y]]*$O$2-'q,d_sum'!C52</f>
        <v>-0.59246668877000042</v>
      </c>
      <c r="J52">
        <f>dipoles[[#This Row],[Z]]*$O$2-'q,d_sum'!D52</f>
        <v>0</v>
      </c>
    </row>
    <row r="53" spans="1:10" x14ac:dyDescent="0.25">
      <c r="A53" t="s">
        <v>54</v>
      </c>
      <c r="B53" t="s">
        <v>139</v>
      </c>
      <c r="C53" t="s">
        <v>140</v>
      </c>
      <c r="D53" t="s">
        <v>95</v>
      </c>
      <c r="E53" t="s">
        <v>141</v>
      </c>
      <c r="H53">
        <f>dipoles[[#This Row],[X]]*$O$2-'q,d_sum'!B53</f>
        <v>-0.66281139413000012</v>
      </c>
      <c r="I53">
        <f>dipoles[[#This Row],[Y]]*$O$2-'q,d_sum'!C53</f>
        <v>-0.49898764949000046</v>
      </c>
      <c r="J53">
        <f>dipoles[[#This Row],[Z]]*$O$2-'q,d_sum'!D53</f>
        <v>0</v>
      </c>
    </row>
    <row r="54" spans="1:10" x14ac:dyDescent="0.25">
      <c r="A54" t="s">
        <v>55</v>
      </c>
      <c r="B54" t="s">
        <v>142</v>
      </c>
      <c r="C54" t="s">
        <v>143</v>
      </c>
      <c r="D54" t="s">
        <v>95</v>
      </c>
      <c r="E54" t="s">
        <v>144</v>
      </c>
      <c r="H54">
        <f>dipoles[[#This Row],[X]]*$O$2-'q,d_sum'!B54</f>
        <v>-0.6494347639300001</v>
      </c>
      <c r="I54">
        <f>dipoles[[#This Row],[Y]]*$O$2-'q,d_sum'!C54</f>
        <v>-0.54006177281000045</v>
      </c>
      <c r="J54">
        <f>dipoles[[#This Row],[Z]]*$O$2-'q,d_sum'!D54</f>
        <v>0</v>
      </c>
    </row>
    <row r="55" spans="1:10" x14ac:dyDescent="0.25">
      <c r="A55" t="s">
        <v>56</v>
      </c>
      <c r="B55" t="s">
        <v>136</v>
      </c>
      <c r="C55" t="s">
        <v>137</v>
      </c>
      <c r="D55" t="s">
        <v>95</v>
      </c>
      <c r="E55" t="s">
        <v>138</v>
      </c>
      <c r="H55">
        <f>dipoles[[#This Row],[X]]*$O$2-'q,d_sum'!B55</f>
        <v>-0.63881214583000012</v>
      </c>
      <c r="I55">
        <f>dipoles[[#This Row],[Y]]*$O$2-'q,d_sum'!C55</f>
        <v>-0.59246668877000042</v>
      </c>
      <c r="J55">
        <f>dipoles[[#This Row],[Z]]*$O$2-'q,d_sum'!D55</f>
        <v>0</v>
      </c>
    </row>
    <row r="56" spans="1:10" x14ac:dyDescent="0.25">
      <c r="A56" t="s">
        <v>57</v>
      </c>
      <c r="B56">
        <v>0</v>
      </c>
      <c r="C56">
        <v>0</v>
      </c>
      <c r="D56">
        <v>0</v>
      </c>
      <c r="E56">
        <v>0</v>
      </c>
      <c r="H56">
        <f>dipoles[[#This Row],[X]]*$O$2-'q,d_sum'!B56</f>
        <v>0</v>
      </c>
      <c r="I56">
        <f>dipoles[[#This Row],[Y]]*$O$2-'q,d_sum'!C56</f>
        <v>0</v>
      </c>
      <c r="J56">
        <f>dipoles[[#This Row],[Z]]*$O$2-'q,d_sum'!D56</f>
        <v>0</v>
      </c>
    </row>
    <row r="57" spans="1:10" x14ac:dyDescent="0.25">
      <c r="A57" t="s">
        <v>58</v>
      </c>
      <c r="B57" t="s">
        <v>95</v>
      </c>
      <c r="C57" t="s">
        <v>95</v>
      </c>
      <c r="D57" t="s">
        <v>95</v>
      </c>
      <c r="E57" t="s">
        <v>94</v>
      </c>
      <c r="H57">
        <f>dipoles[[#This Row],[X]]*$O$2-'q,d_sum'!B57</f>
        <v>0</v>
      </c>
      <c r="I57">
        <f>dipoles[[#This Row],[Y]]*$O$2-'q,d_sum'!C57</f>
        <v>0</v>
      </c>
      <c r="J57">
        <f>dipoles[[#This Row],[Z]]*$O$2-'q,d_sum'!D57</f>
        <v>0</v>
      </c>
    </row>
    <row r="58" spans="1:10" x14ac:dyDescent="0.25">
      <c r="A58" t="s">
        <v>59</v>
      </c>
      <c r="B58" t="s">
        <v>95</v>
      </c>
      <c r="C58" t="s">
        <v>94</v>
      </c>
      <c r="D58" t="s">
        <v>94</v>
      </c>
      <c r="E58" t="s">
        <v>94</v>
      </c>
      <c r="H58">
        <f>dipoles[[#This Row],[X]]*$O$2-'q,d_sum'!B58</f>
        <v>0</v>
      </c>
      <c r="I58">
        <f>dipoles[[#This Row],[Y]]*$O$2-'q,d_sum'!C58</f>
        <v>0</v>
      </c>
      <c r="J58">
        <f>dipoles[[#This Row],[Z]]*$O$2-'q,d_sum'!D58</f>
        <v>0</v>
      </c>
    </row>
    <row r="59" spans="1:10" x14ac:dyDescent="0.25">
      <c r="A59" t="s">
        <v>60</v>
      </c>
      <c r="B59" t="s">
        <v>95</v>
      </c>
      <c r="C59" t="s">
        <v>94</v>
      </c>
      <c r="D59" t="s">
        <v>94</v>
      </c>
      <c r="E59" t="s">
        <v>94</v>
      </c>
      <c r="H59">
        <f>dipoles[[#This Row],[X]]*$O$2-'q,d_sum'!B59</f>
        <v>0</v>
      </c>
      <c r="I59">
        <f>dipoles[[#This Row],[Y]]*$O$2-'q,d_sum'!C59</f>
        <v>0</v>
      </c>
      <c r="J59">
        <f>dipoles[[#This Row],[Z]]*$O$2-'q,d_sum'!D59</f>
        <v>0</v>
      </c>
    </row>
    <row r="60" spans="1:10" x14ac:dyDescent="0.25">
      <c r="A60" t="s">
        <v>61</v>
      </c>
      <c r="B60" t="s">
        <v>94</v>
      </c>
      <c r="C60" t="s">
        <v>94</v>
      </c>
      <c r="D60" t="s">
        <v>94</v>
      </c>
      <c r="E60" t="s">
        <v>94</v>
      </c>
      <c r="H60">
        <f>dipoles[[#This Row],[X]]*$O$2-'q,d_sum'!B60</f>
        <v>0</v>
      </c>
      <c r="I60">
        <f>dipoles[[#This Row],[Y]]*$O$2-'q,d_sum'!C60</f>
        <v>0</v>
      </c>
      <c r="J60">
        <f>dipoles[[#This Row],[Z]]*$O$2-'q,d_sum'!D60</f>
        <v>0</v>
      </c>
    </row>
    <row r="61" spans="1:10" x14ac:dyDescent="0.25">
      <c r="A61" t="s">
        <v>62</v>
      </c>
      <c r="B61" t="s">
        <v>95</v>
      </c>
      <c r="C61" t="s">
        <v>95</v>
      </c>
      <c r="D61" t="s">
        <v>94</v>
      </c>
      <c r="E61" t="s">
        <v>94</v>
      </c>
      <c r="H61">
        <f>dipoles[[#This Row],[X]]*$O$2-'q,d_sum'!B61</f>
        <v>0</v>
      </c>
      <c r="I61">
        <f>dipoles[[#This Row],[Y]]*$O$2-'q,d_sum'!C61</f>
        <v>0</v>
      </c>
      <c r="J61">
        <f>dipoles[[#This Row],[Z]]*$O$2-'q,d_sum'!D61</f>
        <v>0</v>
      </c>
    </row>
    <row r="62" spans="1:10" x14ac:dyDescent="0.25">
      <c r="A62" t="s">
        <v>63</v>
      </c>
      <c r="B62">
        <v>0</v>
      </c>
      <c r="C62">
        <v>0</v>
      </c>
      <c r="D62">
        <v>-1.6539999999999999</v>
      </c>
      <c r="E62">
        <v>1.6539999999999999</v>
      </c>
      <c r="H62">
        <f>dipoles[[#This Row],[X]]*$O$2-'q,d_sum'!B62</f>
        <v>0</v>
      </c>
      <c r="I62">
        <f>dipoles[[#This Row],[Y]]*$O$2-'q,d_sum'!C62</f>
        <v>0</v>
      </c>
      <c r="J62">
        <f>dipoles[[#This Row],[Z]]*$O$2-'q,d_sum'!D62</f>
        <v>-15.310503164199998</v>
      </c>
    </row>
    <row r="63" spans="1:10" x14ac:dyDescent="0.25">
      <c r="A63" t="s">
        <v>64</v>
      </c>
      <c r="B63" t="s">
        <v>94</v>
      </c>
      <c r="C63" t="s">
        <v>95</v>
      </c>
      <c r="D63" t="s">
        <v>145</v>
      </c>
      <c r="E63" t="s">
        <v>146</v>
      </c>
      <c r="H63">
        <f>dipoles[[#This Row],[X]]*$O$2-'q,d_sum'!B63</f>
        <v>0</v>
      </c>
      <c r="I63">
        <f>dipoles[[#This Row],[Y]]*$O$2-'q,d_sum'!C63</f>
        <v>0</v>
      </c>
      <c r="J63">
        <f>dipoles[[#This Row],[Z]]*$O$2-'q,d_sum'!D63</f>
        <v>-15.308496669669999</v>
      </c>
    </row>
    <row r="64" spans="1:10" x14ac:dyDescent="0.25">
      <c r="A64" t="s">
        <v>65</v>
      </c>
      <c r="B64" t="s">
        <v>94</v>
      </c>
      <c r="C64" t="s">
        <v>95</v>
      </c>
      <c r="D64" t="s">
        <v>147</v>
      </c>
      <c r="E64" t="s">
        <v>148</v>
      </c>
      <c r="H64">
        <f>dipoles[[#This Row],[X]]*$O$2-'q,d_sum'!B64</f>
        <v>0</v>
      </c>
      <c r="I64">
        <f>dipoles[[#This Row],[Y]]*$O$2-'q,d_sum'!C64</f>
        <v>0</v>
      </c>
      <c r="J64">
        <f>dipoles[[#This Row],[Z]]*$O$2-'q,d_sum'!D64</f>
        <v>-15.286858003169998</v>
      </c>
    </row>
    <row r="65" spans="1:10" x14ac:dyDescent="0.25">
      <c r="A65" t="s">
        <v>66</v>
      </c>
      <c r="B65" t="s">
        <v>95</v>
      </c>
      <c r="C65" t="s">
        <v>95</v>
      </c>
      <c r="D65" t="s">
        <v>149</v>
      </c>
      <c r="E65" t="s">
        <v>150</v>
      </c>
      <c r="H65">
        <f>dipoles[[#This Row],[X]]*$O$2-'q,d_sum'!B65</f>
        <v>0</v>
      </c>
      <c r="I65">
        <f>dipoles[[#This Row],[Y]]*$O$2-'q,d_sum'!C65</f>
        <v>0</v>
      </c>
      <c r="J65">
        <f>dipoles[[#This Row],[Z]]*$O$2-'q,d_sum'!D65</f>
        <v>-15.320614322909998</v>
      </c>
    </row>
    <row r="66" spans="1:10" x14ac:dyDescent="0.25">
      <c r="A66" t="s">
        <v>67</v>
      </c>
      <c r="B66" t="s">
        <v>94</v>
      </c>
      <c r="C66" t="s">
        <v>94</v>
      </c>
      <c r="D66" t="s">
        <v>151</v>
      </c>
      <c r="E66" t="s">
        <v>152</v>
      </c>
      <c r="H66">
        <f>dipoles[[#This Row],[X]]*$O$2-'q,d_sum'!B66</f>
        <v>0</v>
      </c>
      <c r="I66">
        <f>dipoles[[#This Row],[Y]]*$O$2-'q,d_sum'!C66</f>
        <v>0</v>
      </c>
      <c r="J66">
        <f>dipoles[[#This Row],[Z]]*$O$2-'q,d_sum'!D66</f>
        <v>-15.305742657569999</v>
      </c>
    </row>
    <row r="67" spans="1:10" x14ac:dyDescent="0.25">
      <c r="A67" t="s">
        <v>68</v>
      </c>
      <c r="B67" t="s">
        <v>94</v>
      </c>
      <c r="C67" t="s">
        <v>95</v>
      </c>
      <c r="D67" t="s">
        <v>147</v>
      </c>
      <c r="E67" t="s">
        <v>148</v>
      </c>
      <c r="H67">
        <f>dipoles[[#This Row],[X]]*$O$2-'q,d_sum'!B67</f>
        <v>0</v>
      </c>
      <c r="I67">
        <f>dipoles[[#This Row],[Y]]*$O$2-'q,d_sum'!C67</f>
        <v>0</v>
      </c>
      <c r="J67">
        <f>dipoles[[#This Row],[Z]]*$O$2-'q,d_sum'!D67</f>
        <v>-15.286858003169998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66EFF-4988-A141-B36B-6901B610A736}">
  <dimension ref="A1:N67"/>
  <sheetViews>
    <sheetView workbookViewId="0">
      <selection activeCell="G60" sqref="G60"/>
    </sheetView>
  </sheetViews>
  <sheetFormatPr defaultColWidth="11.42578125" defaultRowHeight="15" x14ac:dyDescent="0.25"/>
  <cols>
    <col min="1" max="1" width="10.28515625" bestFit="1" customWidth="1"/>
    <col min="2" max="2" width="8.7109375" bestFit="1" customWidth="1"/>
    <col min="3" max="3" width="7.140625" bestFit="1" customWidth="1"/>
    <col min="4" max="4" width="8.7109375" bestFit="1" customWidth="1"/>
    <col min="5" max="6" width="7.7109375" bestFit="1" customWidth="1"/>
    <col min="7" max="7" width="12.7109375" bestFit="1" customWidth="1"/>
    <col min="9" max="9" width="14.5703125" bestFit="1" customWidth="1"/>
    <col min="14" max="14" width="16.42578125" bestFit="1" customWidth="1"/>
  </cols>
  <sheetData>
    <row r="1" spans="1:14" x14ac:dyDescent="0.25">
      <c r="B1" t="s">
        <v>70</v>
      </c>
      <c r="C1" t="s">
        <v>76</v>
      </c>
      <c r="D1" t="s">
        <v>72</v>
      </c>
      <c r="E1" t="s">
        <v>77</v>
      </c>
      <c r="F1" t="s">
        <v>77</v>
      </c>
      <c r="G1" t="s">
        <v>74</v>
      </c>
      <c r="I1" t="s">
        <v>155</v>
      </c>
      <c r="J1" t="s">
        <v>70</v>
      </c>
      <c r="K1" t="s">
        <v>72</v>
      </c>
      <c r="L1" t="s">
        <v>74</v>
      </c>
      <c r="N1" t="s">
        <v>88</v>
      </c>
    </row>
    <row r="2" spans="1:14" x14ac:dyDescent="0.25">
      <c r="A2" s="1" t="s">
        <v>2</v>
      </c>
      <c r="B2">
        <f>(energies!C2-energies!D2)/(2*$N$5)*$N$2</f>
        <v>-12.967346532310094</v>
      </c>
      <c r="C2">
        <v>0</v>
      </c>
      <c r="D2">
        <f>(energies!E2-energies!F2)/(2*$N$5)*$N$2</f>
        <v>-12.967346532310094</v>
      </c>
      <c r="E2">
        <v>0</v>
      </c>
      <c r="F2">
        <v>0</v>
      </c>
      <c r="G2">
        <f>(energies!G2-energies!H2)/(2*$N$5)*$N$2</f>
        <v>-8.9708896875398985</v>
      </c>
      <c r="J2">
        <f>B2*$N$2-'q,d_sum'!E2</f>
        <v>-17.441517683547474</v>
      </c>
      <c r="K2">
        <f>D2*$N$2-'q,d_sum'!F2</f>
        <v>-17.441517683547474</v>
      </c>
      <c r="L2">
        <f>G2*$N$2-'q,d_sum'!G2</f>
        <v>-47.68550858803205</v>
      </c>
      <c r="N2">
        <v>1.345033669</v>
      </c>
    </row>
    <row r="3" spans="1:14" x14ac:dyDescent="0.25">
      <c r="A3" s="1" t="s">
        <v>3</v>
      </c>
      <c r="B3">
        <f>(energies!C3-energies!D3)/(2*$N$5)*$N$2</f>
        <v>-12.887027846642841</v>
      </c>
      <c r="C3">
        <v>0</v>
      </c>
      <c r="D3">
        <v>-12.887</v>
      </c>
      <c r="E3">
        <v>0</v>
      </c>
      <c r="F3">
        <v>0</v>
      </c>
      <c r="G3">
        <v>-8.9178999999999995</v>
      </c>
      <c r="J3">
        <f>B3*$N$2-'q,d_sum'!E3</f>
        <v>-17.333486347075191</v>
      </c>
      <c r="K3">
        <f>D3*$N$2-'q,d_sum'!F3</f>
        <v>-17.333448892403002</v>
      </c>
      <c r="L3">
        <f>G3*$N$2-'q,d_sum'!G3</f>
        <v>-47.614235674181096</v>
      </c>
    </row>
    <row r="4" spans="1:14" x14ac:dyDescent="0.25">
      <c r="A4" s="1" t="s">
        <v>4</v>
      </c>
      <c r="B4">
        <f>(energies!C4-energies!D4)/(2*$N$5)*$N$2</f>
        <v>-12.900973828258865</v>
      </c>
      <c r="C4">
        <v>0</v>
      </c>
      <c r="D4">
        <v>-12.901</v>
      </c>
      <c r="E4">
        <v>0</v>
      </c>
      <c r="F4">
        <v>0</v>
      </c>
      <c r="G4">
        <v>-9.1582000000000008</v>
      </c>
      <c r="J4">
        <f>B4*$N$2-'q,d_sum'!E4</f>
        <v>-17.352244161895996</v>
      </c>
      <c r="K4">
        <f>D4*$N$2-'q,d_sum'!F4</f>
        <v>-17.352279363769</v>
      </c>
      <c r="L4">
        <f>G4*$N$2-'q,d_sum'!G4</f>
        <v>-47.937447264841794</v>
      </c>
      <c r="N4" t="s">
        <v>166</v>
      </c>
    </row>
    <row r="5" spans="1:14" x14ac:dyDescent="0.25">
      <c r="A5" s="1" t="s">
        <v>5</v>
      </c>
      <c r="B5">
        <f>(energies!C5-energies!D5)/(2*$N$5)*$N$2</f>
        <v>-12.866432691119329</v>
      </c>
      <c r="C5">
        <v>0</v>
      </c>
      <c r="D5">
        <v>-12.866400000000001</v>
      </c>
      <c r="E5">
        <v>0</v>
      </c>
      <c r="F5">
        <v>0</v>
      </c>
      <c r="G5">
        <v>-8.7861999999999991</v>
      </c>
      <c r="J5">
        <f>B5*$N$2-'q,d_sum'!E5</f>
        <v>-17.305785169477772</v>
      </c>
      <c r="K5">
        <f>D5*$N$2-'q,d_sum'!F5</f>
        <v>-17.3057411988216</v>
      </c>
      <c r="L5">
        <f>G5*$N$2-'q,d_sum'!G5</f>
        <v>-47.437094739973794</v>
      </c>
      <c r="N5">
        <v>1E-4</v>
      </c>
    </row>
    <row r="6" spans="1:14" x14ac:dyDescent="0.25">
      <c r="A6" s="1" t="s">
        <v>6</v>
      </c>
      <c r="B6">
        <f>(energies!C6-energies!D6)/(2*$N$5)*$N$2</f>
        <v>-12.830028682456913</v>
      </c>
      <c r="C6">
        <v>0</v>
      </c>
      <c r="D6">
        <v>-12.83</v>
      </c>
      <c r="E6">
        <v>0</v>
      </c>
      <c r="F6">
        <v>0</v>
      </c>
      <c r="G6">
        <v>-8.8821999999999992</v>
      </c>
      <c r="J6">
        <f>B6*$N$2-'q,d_sum'!E6</f>
        <v>-17.256820552140258</v>
      </c>
      <c r="K6">
        <f>D6*$N$2-'q,d_sum'!F6</f>
        <v>-17.256781973270002</v>
      </c>
      <c r="L6">
        <f>G6*$N$2-'q,d_sum'!G6</f>
        <v>-47.566217972197791</v>
      </c>
    </row>
    <row r="7" spans="1:14" x14ac:dyDescent="0.25">
      <c r="A7" s="1" t="s">
        <v>7</v>
      </c>
      <c r="B7">
        <f>(energies!C7-energies!D7)/(2*$N$5)*$N$2</f>
        <v>-12.900973828258865</v>
      </c>
      <c r="C7">
        <v>0</v>
      </c>
      <c r="D7">
        <v>-12.901</v>
      </c>
      <c r="E7">
        <v>0</v>
      </c>
      <c r="F7">
        <v>0</v>
      </c>
      <c r="G7">
        <v>-9.1582000000000008</v>
      </c>
      <c r="J7">
        <f>B7*$N$2-'q,d_sum'!E7</f>
        <v>-17.352244161895996</v>
      </c>
      <c r="K7">
        <f>D7*$N$2-'q,d_sum'!F7</f>
        <v>-17.352279363769</v>
      </c>
      <c r="L7">
        <f>G7*$N$2-'q,d_sum'!G7</f>
        <v>-47.937447264841794</v>
      </c>
    </row>
    <row r="8" spans="1:14" x14ac:dyDescent="0.25">
      <c r="A8" s="1" t="s">
        <v>8</v>
      </c>
      <c r="B8">
        <f>(energies!C8-energies!D8)/(2*$N$5)*$N$2</f>
        <v>-8.4109420834637802</v>
      </c>
      <c r="C8">
        <v>0</v>
      </c>
      <c r="D8">
        <f>(energies!E8-energies!F8)/(2*$N$5)*$N$2</f>
        <v>-8.4109420834637802</v>
      </c>
      <c r="E8">
        <v>0</v>
      </c>
      <c r="F8">
        <v>0</v>
      </c>
      <c r="G8">
        <f>(energies!G8-energies!H8)/(2*$N$5)*$N$2</f>
        <v>-8.4109420834637802</v>
      </c>
      <c r="J8">
        <f>B8*$N$2-'q,d_sum'!E8</f>
        <v>-16.939332561810691</v>
      </c>
      <c r="K8">
        <f>D8*$N$2-'q,d_sum'!F8</f>
        <v>-16.939332561810691</v>
      </c>
      <c r="L8">
        <f>G8*$N$2-'q,d_sum'!G8</f>
        <v>-16.939332561810691</v>
      </c>
    </row>
    <row r="9" spans="1:14" x14ac:dyDescent="0.25">
      <c r="A9" s="1" t="s">
        <v>9</v>
      </c>
      <c r="B9">
        <v>-8.3941999999999997</v>
      </c>
      <c r="C9">
        <v>0</v>
      </c>
      <c r="D9">
        <v>-8.3941999999999997</v>
      </c>
      <c r="E9">
        <v>0</v>
      </c>
      <c r="F9">
        <v>0</v>
      </c>
      <c r="G9">
        <v>-8.3941999999999997</v>
      </c>
      <c r="J9">
        <f>B9*$N$2-'q,d_sum'!E9</f>
        <v>-16.916813895862695</v>
      </c>
      <c r="K9">
        <f>D9*$N$2-'q,d_sum'!F9</f>
        <v>-16.916813895862695</v>
      </c>
      <c r="L9">
        <f>G9*$N$2-'q,d_sum'!G9</f>
        <v>-16.916813895862695</v>
      </c>
    </row>
    <row r="10" spans="1:14" x14ac:dyDescent="0.25">
      <c r="A10" s="1" t="s">
        <v>10</v>
      </c>
      <c r="B10">
        <v>-8.4939</v>
      </c>
      <c r="C10">
        <v>0</v>
      </c>
      <c r="D10">
        <v>-8.4939</v>
      </c>
      <c r="E10">
        <v>0</v>
      </c>
      <c r="F10">
        <v>0</v>
      </c>
      <c r="G10">
        <v>-8.4939</v>
      </c>
      <c r="J10">
        <f>B10*$N$2-'q,d_sum'!E10</f>
        <v>-17.050913752661998</v>
      </c>
      <c r="K10">
        <f>D10*$N$2-'q,d_sum'!F10</f>
        <v>-17.050913752661998</v>
      </c>
      <c r="L10">
        <f>G10*$N$2-'q,d_sum'!G10</f>
        <v>-17.050913752661998</v>
      </c>
    </row>
    <row r="11" spans="1:14" x14ac:dyDescent="0.25">
      <c r="A11" s="1" t="s">
        <v>11</v>
      </c>
      <c r="B11">
        <v>-8.3469999999999995</v>
      </c>
      <c r="C11">
        <v>0</v>
      </c>
      <c r="D11">
        <v>-8.3469999999999995</v>
      </c>
      <c r="E11">
        <v>0</v>
      </c>
      <c r="F11">
        <v>0</v>
      </c>
      <c r="G11">
        <v>-8.3469999999999995</v>
      </c>
      <c r="J11">
        <f>B11*$N$2-'q,d_sum'!E11</f>
        <v>-16.853328306685896</v>
      </c>
      <c r="K11">
        <f>D11*$N$2-'q,d_sum'!F11</f>
        <v>-16.853328306685896</v>
      </c>
      <c r="L11">
        <f>G11*$N$2-'q,d_sum'!G11</f>
        <v>-16.853328306685896</v>
      </c>
    </row>
    <row r="12" spans="1:14" x14ac:dyDescent="0.25">
      <c r="A12" s="1" t="s">
        <v>12</v>
      </c>
      <c r="B12">
        <v>-8.3782999999999994</v>
      </c>
      <c r="C12">
        <v>0</v>
      </c>
      <c r="D12">
        <v>-8.3782999999999994</v>
      </c>
      <c r="E12">
        <v>0</v>
      </c>
      <c r="F12">
        <v>0</v>
      </c>
      <c r="G12">
        <v>-8.3782999999999994</v>
      </c>
      <c r="J12">
        <f>B12*$N$2-'q,d_sum'!E12</f>
        <v>-16.895427860525597</v>
      </c>
      <c r="K12">
        <f>D12*$N$2-'q,d_sum'!F12</f>
        <v>-16.895427860525597</v>
      </c>
      <c r="L12">
        <f>G12*$N$2-'q,d_sum'!G12</f>
        <v>-16.895427860525597</v>
      </c>
    </row>
    <row r="13" spans="1:14" x14ac:dyDescent="0.25">
      <c r="A13" s="1" t="s">
        <v>13</v>
      </c>
      <c r="B13">
        <v>-8.4939</v>
      </c>
      <c r="C13">
        <v>0</v>
      </c>
      <c r="D13">
        <v>-8.4939</v>
      </c>
      <c r="E13">
        <v>0</v>
      </c>
      <c r="F13">
        <v>0</v>
      </c>
      <c r="G13">
        <v>-8.4939</v>
      </c>
      <c r="J13">
        <f>B13*$N$2-'q,d_sum'!E13</f>
        <v>-17.050913752661998</v>
      </c>
      <c r="K13">
        <f>D13*$N$2-'q,d_sum'!F13</f>
        <v>-17.050913752661998</v>
      </c>
      <c r="L13">
        <f>G13*$N$2-'q,d_sum'!G13</f>
        <v>-17.050913752661998</v>
      </c>
    </row>
    <row r="14" spans="1:14" x14ac:dyDescent="0.25">
      <c r="A14" s="1" t="s">
        <v>14</v>
      </c>
      <c r="B14">
        <f>(energies!C14-energies!D14)/(2*$N$5)*$N$2</f>
        <v>-11.043128587497193</v>
      </c>
      <c r="C14">
        <v>0</v>
      </c>
      <c r="D14">
        <f>(energies!E14-energies!F14)/(2*$N$5)*$N$2</f>
        <v>-11.043128587497193</v>
      </c>
      <c r="E14">
        <v>0</v>
      </c>
      <c r="F14">
        <v>0</v>
      </c>
      <c r="G14">
        <f>(energies!G14-energies!H14)/(2*$N$5)*$N$2</f>
        <v>-8.0484333166635729</v>
      </c>
      <c r="J14">
        <f>B14*$N$2-'q,d_sum'!E14</f>
        <v>-14.853379761280138</v>
      </c>
      <c r="K14">
        <f>D14*$N$2-'q,d_sum'!F14</f>
        <v>-14.853379761280138</v>
      </c>
      <c r="L14">
        <f>G14*$N$2-'q,d_sum'!G14</f>
        <v>-40.246435678554789</v>
      </c>
    </row>
    <row r="15" spans="1:14" x14ac:dyDescent="0.25">
      <c r="A15" s="1" t="s">
        <v>15</v>
      </c>
      <c r="B15">
        <v>-11.032299999999999</v>
      </c>
      <c r="C15">
        <v>0</v>
      </c>
      <c r="D15">
        <v>-11.032299999999999</v>
      </c>
      <c r="E15">
        <v>0</v>
      </c>
      <c r="F15">
        <v>0</v>
      </c>
      <c r="G15">
        <v>-8.7606999999999999</v>
      </c>
      <c r="J15">
        <f>B15*$N$2-'q,d_sum'!E15</f>
        <v>-14.838814946508698</v>
      </c>
      <c r="K15">
        <f>D15*$N$2-'q,d_sum'!F15</f>
        <v>-14.838814946508698</v>
      </c>
      <c r="L15">
        <f>G15*$N$2-'q,d_sum'!G15</f>
        <v>-41.204458348949245</v>
      </c>
    </row>
    <row r="16" spans="1:14" x14ac:dyDescent="0.25">
      <c r="A16" s="1" t="s">
        <v>16</v>
      </c>
      <c r="B16">
        <v>-11.054399999999999</v>
      </c>
      <c r="C16">
        <v>0</v>
      </c>
      <c r="D16">
        <v>-11.054399999999999</v>
      </c>
      <c r="E16">
        <v>0</v>
      </c>
      <c r="F16">
        <v>0</v>
      </c>
      <c r="G16">
        <v>-9.3232999999999997</v>
      </c>
      <c r="J16">
        <f>B16*$N$2-'q,d_sum'!E16</f>
        <v>-14.868540190593599</v>
      </c>
      <c r="K16">
        <f>D16*$N$2-'q,d_sum'!F16</f>
        <v>-14.868540190593599</v>
      </c>
      <c r="L16">
        <f>G16*$N$2-'q,d_sum'!G16</f>
        <v>-41.961174291128643</v>
      </c>
    </row>
    <row r="17" spans="1:12" x14ac:dyDescent="0.25">
      <c r="A17" s="1" t="s">
        <v>17</v>
      </c>
      <c r="B17">
        <v>-10.9977</v>
      </c>
      <c r="C17">
        <v>0</v>
      </c>
      <c r="D17">
        <v>-10.9977</v>
      </c>
      <c r="E17">
        <v>0</v>
      </c>
      <c r="F17">
        <v>0</v>
      </c>
      <c r="G17">
        <v>-8.3958999999999993</v>
      </c>
      <c r="J17">
        <f>B17*$N$2-'q,d_sum'!E17</f>
        <v>-14.7922767815613</v>
      </c>
      <c r="K17">
        <f>D17*$N$2-'q,d_sum'!F17</f>
        <v>-14.7922767815613</v>
      </c>
      <c r="L17">
        <f>G17*$N$2-'q,d_sum'!G17</f>
        <v>-40.713790066498042</v>
      </c>
    </row>
    <row r="18" spans="1:12" x14ac:dyDescent="0.25">
      <c r="A18" s="1" t="s">
        <v>18</v>
      </c>
      <c r="B18">
        <v>-10.9701</v>
      </c>
      <c r="C18">
        <v>0</v>
      </c>
      <c r="D18">
        <v>-10.9701</v>
      </c>
      <c r="E18">
        <v>0</v>
      </c>
      <c r="F18">
        <v>0</v>
      </c>
      <c r="G18">
        <v>-8.7925000000000004</v>
      </c>
      <c r="J18">
        <f>B18*$N$2-'q,d_sum'!E18</f>
        <v>-14.7551538522969</v>
      </c>
      <c r="K18">
        <f>D18*$N$2-'q,d_sum'!F18</f>
        <v>-14.7551538522969</v>
      </c>
      <c r="L18">
        <f>G18*$N$2-'q,d_sum'!G18</f>
        <v>-41.247230419623442</v>
      </c>
    </row>
    <row r="19" spans="1:12" x14ac:dyDescent="0.25">
      <c r="A19" s="1" t="s">
        <v>19</v>
      </c>
      <c r="B19">
        <v>-11.054399999999999</v>
      </c>
      <c r="C19">
        <v>0</v>
      </c>
      <c r="D19">
        <v>-11.054399999999999</v>
      </c>
      <c r="E19">
        <v>0</v>
      </c>
      <c r="F19">
        <v>0</v>
      </c>
      <c r="G19">
        <v>-9.3232999999999997</v>
      </c>
      <c r="J19">
        <f>B19*$N$2-'q,d_sum'!E19</f>
        <v>-14.868540190593599</v>
      </c>
      <c r="K19">
        <f>D19*$N$2-'q,d_sum'!F19</f>
        <v>-14.868540190593599</v>
      </c>
      <c r="L19">
        <f>G19*$N$2-'q,d_sum'!G19</f>
        <v>-41.961174291128643</v>
      </c>
    </row>
    <row r="20" spans="1:12" x14ac:dyDescent="0.25">
      <c r="A20" s="1" t="s">
        <v>20</v>
      </c>
      <c r="B20">
        <f>(energies!C20-energies!D20)/(2*$N$5)*$N$2</f>
        <v>-14.814997762743843</v>
      </c>
      <c r="C20">
        <v>0</v>
      </c>
      <c r="D20">
        <f>(energies!E20-energies!F20)/(2*$N$5)*$N$2</f>
        <v>-14.814997762743843</v>
      </c>
      <c r="E20">
        <v>0</v>
      </c>
      <c r="F20">
        <v>0</v>
      </c>
      <c r="G20">
        <f>(energies!G20-energies!H20)/(2*$N$5)*$N$2</f>
        <v>-19.948552123801562</v>
      </c>
      <c r="J20">
        <f>B20*$N$2-'q,d_sum'!E20</f>
        <v>-19.926670797050143</v>
      </c>
      <c r="K20">
        <f>D20*$N$2-'q,d_sum'!F20</f>
        <v>-19.926670797050143</v>
      </c>
      <c r="L20">
        <f>G20*$N$2-'q,d_sum'!G20</f>
        <v>-103.99401163650114</v>
      </c>
    </row>
    <row r="21" spans="1:12" x14ac:dyDescent="0.25">
      <c r="A21" s="1" t="s">
        <v>21</v>
      </c>
      <c r="B21">
        <v>-14.8102</v>
      </c>
      <c r="C21">
        <v>0</v>
      </c>
      <c r="D21">
        <v>-14.8102</v>
      </c>
      <c r="E21">
        <v>0</v>
      </c>
      <c r="F21">
        <v>0</v>
      </c>
      <c r="G21">
        <v>-19.166799999999999</v>
      </c>
      <c r="J21">
        <f>B21*$N$2-'q,d_sum'!E21</f>
        <v>-19.920217644623801</v>
      </c>
      <c r="K21">
        <f>D21*$N$2-'q,d_sum'!F21</f>
        <v>-19.920217644623801</v>
      </c>
      <c r="L21">
        <f>G21*$N$2-'q,d_sum'!G21</f>
        <v>-102.94252870917578</v>
      </c>
    </row>
    <row r="22" spans="1:12" x14ac:dyDescent="0.25">
      <c r="A22" s="1" t="s">
        <v>22</v>
      </c>
      <c r="B22">
        <v>-14.8972</v>
      </c>
      <c r="C22">
        <v>0</v>
      </c>
      <c r="D22">
        <v>-14.8972</v>
      </c>
      <c r="E22">
        <v>0</v>
      </c>
      <c r="F22">
        <v>0</v>
      </c>
      <c r="G22">
        <v>-19.055900000000001</v>
      </c>
      <c r="J22">
        <f>B22*$N$2-'q,d_sum'!E22</f>
        <v>-20.037235573826798</v>
      </c>
      <c r="K22">
        <f>D22*$N$2-'q,d_sum'!F22</f>
        <v>-20.037235573826798</v>
      </c>
      <c r="L22">
        <f>G22*$N$2-'q,d_sum'!G22</f>
        <v>-102.79336447528368</v>
      </c>
    </row>
    <row r="23" spans="1:12" x14ac:dyDescent="0.25">
      <c r="A23" s="1" t="s">
        <v>23</v>
      </c>
      <c r="B23">
        <v>-14.7407</v>
      </c>
      <c r="C23">
        <v>0</v>
      </c>
      <c r="D23">
        <v>-14.7407</v>
      </c>
      <c r="E23">
        <v>0</v>
      </c>
      <c r="F23">
        <v>0</v>
      </c>
      <c r="G23">
        <v>-19.204599999999999</v>
      </c>
      <c r="J23">
        <f>B23*$N$2-'q,d_sum'!E23</f>
        <v>-19.826737804628301</v>
      </c>
      <c r="K23">
        <f>D23*$N$2-'q,d_sum'!F23</f>
        <v>-19.826737804628301</v>
      </c>
      <c r="L23">
        <f>G23*$N$2-'q,d_sum'!G23</f>
        <v>-102.99337098186399</v>
      </c>
    </row>
    <row r="24" spans="1:12" x14ac:dyDescent="0.25">
      <c r="A24" s="1" t="s">
        <v>24</v>
      </c>
      <c r="B24">
        <v>-14.753500000000001</v>
      </c>
      <c r="C24">
        <v>0</v>
      </c>
      <c r="D24">
        <v>-14.753500000000001</v>
      </c>
      <c r="E24">
        <v>0</v>
      </c>
      <c r="F24">
        <v>0</v>
      </c>
      <c r="G24">
        <v>-19.075600000000001</v>
      </c>
      <c r="J24">
        <f>B24*$N$2-'q,d_sum'!E24</f>
        <v>-19.8439542355915</v>
      </c>
      <c r="K24">
        <f>D24*$N$2-'q,d_sum'!F24</f>
        <v>-19.8439542355915</v>
      </c>
      <c r="L24">
        <f>G24*$N$2-'q,d_sum'!G24</f>
        <v>-102.81986163856298</v>
      </c>
    </row>
    <row r="25" spans="1:12" x14ac:dyDescent="0.25">
      <c r="A25" s="1" t="s">
        <v>25</v>
      </c>
      <c r="B25">
        <v>-14.8972</v>
      </c>
      <c r="C25">
        <v>0</v>
      </c>
      <c r="D25">
        <v>-14.8972</v>
      </c>
      <c r="E25">
        <v>0</v>
      </c>
      <c r="F25">
        <v>0</v>
      </c>
      <c r="G25">
        <v>-19.055900000000001</v>
      </c>
      <c r="J25">
        <f>B25*$N$2-'q,d_sum'!E25</f>
        <v>-20.037235573826798</v>
      </c>
      <c r="K25">
        <f>D25*$N$2-'q,d_sum'!F25</f>
        <v>-20.037235573826798</v>
      </c>
      <c r="L25">
        <f>G25*$N$2-'q,d_sum'!G25</f>
        <v>-102.79336447528368</v>
      </c>
    </row>
    <row r="26" spans="1:12" x14ac:dyDescent="0.25">
      <c r="A26" s="1" t="s">
        <v>26</v>
      </c>
      <c r="B26">
        <f>(energies!C26-energies!D26)/(2*$N$5)*$N$2</f>
        <v>-10.219991520229261</v>
      </c>
      <c r="C26">
        <v>0</v>
      </c>
      <c r="D26">
        <f>(energies!E26-energies!F26)/(2*$N$5)*$N$2</f>
        <v>-10.219991520229261</v>
      </c>
      <c r="E26">
        <v>0</v>
      </c>
      <c r="F26">
        <v>0</v>
      </c>
      <c r="G26">
        <f>(energies!G26-energies!H26)/(2*$N$5)*$N$2</f>
        <v>-12.636292050290908</v>
      </c>
      <c r="J26">
        <f>B26*$N$2-'q,d_sum'!E26</f>
        <v>-13.746232691602851</v>
      </c>
      <c r="K26">
        <f>D26*$N$2-'q,d_sum'!F26</f>
        <v>-13.746232691602851</v>
      </c>
      <c r="L26">
        <f>G26*$N$2-'q,d_sum'!G26</f>
        <v>-53.359404642540269</v>
      </c>
    </row>
    <row r="27" spans="1:12" x14ac:dyDescent="0.25">
      <c r="A27" s="1" t="s">
        <v>27</v>
      </c>
      <c r="B27" s="4" t="s">
        <v>156</v>
      </c>
      <c r="C27" s="4" t="s">
        <v>95</v>
      </c>
      <c r="D27" s="4" t="s">
        <v>156</v>
      </c>
      <c r="E27" s="4" t="s">
        <v>95</v>
      </c>
      <c r="F27" s="4" t="s">
        <v>94</v>
      </c>
      <c r="G27" s="5" t="s">
        <v>157</v>
      </c>
      <c r="J27">
        <f>B27*$N$2-'q,d_sum'!E27</f>
        <v>-13.785922590415499</v>
      </c>
      <c r="K27">
        <f>D27*$N$2-'q,d_sum'!F27</f>
        <v>-13.785922590415499</v>
      </c>
      <c r="L27">
        <f>G27*$N$2-'q,d_sum'!G27</f>
        <v>-52.658114780150058</v>
      </c>
    </row>
    <row r="28" spans="1:12" x14ac:dyDescent="0.25">
      <c r="A28" s="1" t="s">
        <v>29</v>
      </c>
      <c r="B28" s="6" t="s">
        <v>158</v>
      </c>
      <c r="C28" s="6" t="s">
        <v>94</v>
      </c>
      <c r="D28" s="6" t="s">
        <v>158</v>
      </c>
      <c r="E28" s="6" t="s">
        <v>95</v>
      </c>
      <c r="F28" s="6" t="s">
        <v>95</v>
      </c>
      <c r="G28" s="7" t="s">
        <v>159</v>
      </c>
      <c r="J28">
        <f>B28*$N$2-'q,d_sum'!E28</f>
        <v>-13.903075022985401</v>
      </c>
      <c r="K28">
        <f>D28*$N$2-'q,d_sum'!F28</f>
        <v>-13.903075022985401</v>
      </c>
      <c r="L28">
        <f>G28*$N$2-'q,d_sum'!G28</f>
        <v>-52.585482962024059</v>
      </c>
    </row>
    <row r="29" spans="1:12" x14ac:dyDescent="0.25">
      <c r="A29" s="1" t="s">
        <v>30</v>
      </c>
      <c r="B29" s="4" t="s">
        <v>160</v>
      </c>
      <c r="C29" s="4" t="s">
        <v>95</v>
      </c>
      <c r="D29" s="4" t="s">
        <v>160</v>
      </c>
      <c r="E29" s="4" t="s">
        <v>95</v>
      </c>
      <c r="F29" s="4" t="s">
        <v>95</v>
      </c>
      <c r="G29" s="5" t="s">
        <v>161</v>
      </c>
      <c r="J29">
        <f>B29*$N$2-'q,d_sum'!E29</f>
        <v>-13.712214745354299</v>
      </c>
      <c r="K29">
        <f>D29*$N$2-'q,d_sum'!F29</f>
        <v>-13.712214745354299</v>
      </c>
      <c r="L29">
        <f>G29*$N$2-'q,d_sum'!G29</f>
        <v>-52.705056455198161</v>
      </c>
    </row>
    <row r="30" spans="1:12" x14ac:dyDescent="0.25">
      <c r="A30" s="1" t="s">
        <v>31</v>
      </c>
      <c r="B30" s="6" t="s">
        <v>162</v>
      </c>
      <c r="C30" s="6" t="s">
        <v>95</v>
      </c>
      <c r="D30" s="6" t="s">
        <v>162</v>
      </c>
      <c r="E30" s="6" t="s">
        <v>95</v>
      </c>
      <c r="F30" s="6" t="s">
        <v>94</v>
      </c>
      <c r="G30" s="7" t="s">
        <v>163</v>
      </c>
      <c r="J30">
        <f>B30*$N$2-'q,d_sum'!E30</f>
        <v>-13.742343499539901</v>
      </c>
      <c r="K30">
        <f>D30*$N$2-'q,d_sum'!F30</f>
        <v>-13.742343499539901</v>
      </c>
      <c r="L30">
        <f>G30*$N$2-'q,d_sum'!G30</f>
        <v>-52.609828071432958</v>
      </c>
    </row>
    <row r="31" spans="1:12" x14ac:dyDescent="0.25">
      <c r="A31" s="1" t="s">
        <v>32</v>
      </c>
      <c r="B31" s="4" t="s">
        <v>164</v>
      </c>
      <c r="C31" s="4" t="s">
        <v>95</v>
      </c>
      <c r="D31" s="4" t="s">
        <v>164</v>
      </c>
      <c r="E31" s="4" t="s">
        <v>95</v>
      </c>
      <c r="F31" s="4" t="s">
        <v>95</v>
      </c>
      <c r="G31" s="5" t="s">
        <v>165</v>
      </c>
      <c r="J31">
        <f>B31*$N$2-'q,d_sum'!E31</f>
        <v>-13.9814904858881</v>
      </c>
      <c r="K31">
        <f>D31*$N$2-'q,d_sum'!F31</f>
        <v>-13.9814904858881</v>
      </c>
      <c r="L31">
        <f>G31*$N$2-'q,d_sum'!G31</f>
        <v>-52.618839797015255</v>
      </c>
    </row>
    <row r="32" spans="1:12" x14ac:dyDescent="0.25">
      <c r="A32" s="1" t="s">
        <v>33</v>
      </c>
      <c r="B32">
        <f>(energies!C32-energies!D32)/(2*$N$5)*$N$2</f>
        <v>-7.558951353787001</v>
      </c>
      <c r="C32">
        <v>0</v>
      </c>
      <c r="D32">
        <f>(energies!E32-energies!F32)/(2*$N$5)*$N$2</f>
        <v>-4.2447117264935796</v>
      </c>
      <c r="E32">
        <v>0</v>
      </c>
      <c r="F32">
        <v>0</v>
      </c>
      <c r="G32">
        <f>(energies!G32-energies!H32)/(2*$N$5)*$N$2</f>
        <v>-6.242614650656062</v>
      </c>
      <c r="J32">
        <f>B32*$N$2-'q,d_sum'!E32</f>
        <v>-10.167044073176648</v>
      </c>
      <c r="K32">
        <f>D32*$N$2-'q,d_sum'!F32</f>
        <v>-9.8042501604798726</v>
      </c>
      <c r="L32">
        <f>G32*$N$2-'q,d_sum'!G32</f>
        <v>-10.361947610952207</v>
      </c>
    </row>
    <row r="33" spans="1:12" x14ac:dyDescent="0.25">
      <c r="A33" s="1" t="s">
        <v>34</v>
      </c>
      <c r="B33">
        <v>-7.726</v>
      </c>
      <c r="C33">
        <v>0</v>
      </c>
      <c r="D33">
        <v>-4.4246999999999996</v>
      </c>
      <c r="E33">
        <v>0</v>
      </c>
      <c r="F33">
        <v>0</v>
      </c>
      <c r="G33">
        <v>-6.4105999999999996</v>
      </c>
      <c r="J33">
        <f>B33*$N$2-'q,d_sum'!E33</f>
        <v>-10.391730126694</v>
      </c>
      <c r="K33">
        <f>D33*$N$2-'q,d_sum'!F33</f>
        <v>-10.04634044837119</v>
      </c>
      <c r="L33">
        <f>G33*$N$2-'q,d_sum'!G33</f>
        <v>-10.587893561718529</v>
      </c>
    </row>
    <row r="34" spans="1:12" x14ac:dyDescent="0.25">
      <c r="A34" s="1" t="s">
        <v>35</v>
      </c>
      <c r="B34">
        <v>-7.8672000000000004</v>
      </c>
      <c r="C34">
        <v>0</v>
      </c>
      <c r="D34">
        <v>-4.5662000000000003</v>
      </c>
      <c r="E34">
        <v>0</v>
      </c>
      <c r="F34">
        <v>0</v>
      </c>
      <c r="G34">
        <v>-6.5490000000000004</v>
      </c>
      <c r="J34">
        <f>B34*$N$2-'q,d_sum'!E34</f>
        <v>-10.5816488807568</v>
      </c>
      <c r="K34">
        <f>D34*$N$2-'q,d_sum'!F34</f>
        <v>-10.23666271253469</v>
      </c>
      <c r="L34">
        <f>G34*$N$2-'q,d_sum'!G34</f>
        <v>-10.774046221508129</v>
      </c>
    </row>
    <row r="35" spans="1:12" x14ac:dyDescent="0.25">
      <c r="A35" s="1" t="s">
        <v>36</v>
      </c>
      <c r="B35">
        <v>-7.6496000000000004</v>
      </c>
      <c r="C35">
        <v>0</v>
      </c>
      <c r="D35">
        <v>-4.3384999999999998</v>
      </c>
      <c r="E35">
        <v>0</v>
      </c>
      <c r="F35">
        <v>0</v>
      </c>
      <c r="G35">
        <v>-6.3380000000000001</v>
      </c>
      <c r="J35">
        <f>B35*$N$2-'q,d_sum'!E35</f>
        <v>-10.288969554382401</v>
      </c>
      <c r="K35">
        <f>D35*$N$2-'q,d_sum'!F35</f>
        <v>-9.9303985461033886</v>
      </c>
      <c r="L35">
        <f>G35*$N$2-'q,d_sum'!G35</f>
        <v>-10.49024411734913</v>
      </c>
    </row>
    <row r="36" spans="1:12" x14ac:dyDescent="0.25">
      <c r="A36" s="1" t="s">
        <v>37</v>
      </c>
      <c r="B36">
        <v>-7.7149000000000001</v>
      </c>
      <c r="C36">
        <v>0</v>
      </c>
      <c r="D36">
        <v>-4.4074999999999998</v>
      </c>
      <c r="E36">
        <v>0</v>
      </c>
      <c r="F36">
        <v>0</v>
      </c>
      <c r="G36">
        <v>-6.4065000000000003</v>
      </c>
      <c r="J36">
        <f>B36*$N$2-'q,d_sum'!E36</f>
        <v>-10.376800252968099</v>
      </c>
      <c r="K36">
        <f>D36*$N$2-'q,d_sum'!F36</f>
        <v>-10.023205869264388</v>
      </c>
      <c r="L36">
        <f>G36*$N$2-'q,d_sum'!G36</f>
        <v>-10.58237892367563</v>
      </c>
    </row>
    <row r="37" spans="1:12" x14ac:dyDescent="0.25">
      <c r="A37" s="1" t="s">
        <v>38</v>
      </c>
      <c r="B37">
        <v>-7.8672000000000004</v>
      </c>
      <c r="C37">
        <v>0</v>
      </c>
      <c r="D37">
        <v>-4.5662000000000003</v>
      </c>
      <c r="E37">
        <v>0</v>
      </c>
      <c r="F37">
        <v>0</v>
      </c>
      <c r="G37">
        <v>-6.5490000000000004</v>
      </c>
      <c r="J37">
        <f>B37*$N$2-'q,d_sum'!E37</f>
        <v>-10.5816488807568</v>
      </c>
      <c r="K37">
        <f>D37*$N$2-'q,d_sum'!F37</f>
        <v>-10.23666271253469</v>
      </c>
      <c r="L37">
        <f>G37*$N$2-'q,d_sum'!G37</f>
        <v>-10.774046221508129</v>
      </c>
    </row>
    <row r="38" spans="1:12" x14ac:dyDescent="0.25">
      <c r="A38" s="1" t="s">
        <v>39</v>
      </c>
      <c r="B38">
        <f>(energies!C38-energies!D38)/(2*$N$5)*$N$2</f>
        <v>-11.287553486021004</v>
      </c>
      <c r="D38">
        <f>(energies!E38-energies!F38)/(2*$N$5)*$N$2</f>
        <v>-13.754912166610575</v>
      </c>
      <c r="G38">
        <f>(energies!G38-energies!H38)/(2*$N$5)*$N$2</f>
        <v>-10.980702212413973</v>
      </c>
      <c r="J38">
        <f>B38*$N$2-'q,d_sum'!E38</f>
        <v>-29.288817879322991</v>
      </c>
      <c r="K38">
        <f>D38*$N$2-'q,d_sum'!F38</f>
        <v>-49.561306165251352</v>
      </c>
      <c r="L38">
        <f>G38*$N$2-'q,d_sum'!G38</f>
        <v>-14.769414184959585</v>
      </c>
    </row>
    <row r="39" spans="1:12" x14ac:dyDescent="0.25">
      <c r="A39" s="1" t="s">
        <v>40</v>
      </c>
      <c r="B39">
        <v>-11.2044</v>
      </c>
      <c r="C39">
        <v>0.60980000000000001</v>
      </c>
      <c r="D39">
        <v>-13.414199999999999</v>
      </c>
      <c r="E39">
        <v>0</v>
      </c>
      <c r="F39">
        <v>0</v>
      </c>
      <c r="G39">
        <v>-11.0017</v>
      </c>
      <c r="J39">
        <f>B39*$N$2-'q,d_sum'!E39</f>
        <v>-29.176973640930019</v>
      </c>
      <c r="K39">
        <f>D39*$N$2-'q,d_sum'!F39</f>
        <v>-49.103036829722186</v>
      </c>
      <c r="L39">
        <f>G39*$N$2-'q,d_sum'!G39</f>
        <v>-14.797656916237299</v>
      </c>
    </row>
    <row r="40" spans="1:12" x14ac:dyDescent="0.25">
      <c r="A40" s="1" t="s">
        <v>41</v>
      </c>
      <c r="B40">
        <v>-11.3376</v>
      </c>
      <c r="C40">
        <v>0.52749999999999997</v>
      </c>
      <c r="D40">
        <v>-13.4217</v>
      </c>
      <c r="E40">
        <v>0</v>
      </c>
      <c r="F40">
        <v>0</v>
      </c>
      <c r="G40">
        <v>-11.085000000000001</v>
      </c>
      <c r="J40">
        <f>B40*$N$2-'q,d_sum'!E40</f>
        <v>-29.356132125640819</v>
      </c>
      <c r="K40">
        <f>D40*$N$2-'q,d_sum'!F40</f>
        <v>-49.113124582239692</v>
      </c>
      <c r="L40">
        <f>G40*$N$2-'q,d_sum'!G40</f>
        <v>-14.909698220865002</v>
      </c>
    </row>
    <row r="41" spans="1:12" x14ac:dyDescent="0.25">
      <c r="A41" s="1" t="s">
        <v>42</v>
      </c>
      <c r="B41">
        <v>-11.155900000000001</v>
      </c>
      <c r="C41">
        <v>0.67190000000000005</v>
      </c>
      <c r="D41">
        <v>-13.393700000000001</v>
      </c>
      <c r="E41">
        <v>0</v>
      </c>
      <c r="F41">
        <v>0</v>
      </c>
      <c r="G41">
        <v>-10.941000000000001</v>
      </c>
      <c r="J41">
        <f>B41*$N$2-'q,d_sum'!E41</f>
        <v>-29.111739507983522</v>
      </c>
      <c r="K41">
        <f>D41*$N$2-'q,d_sum'!F41</f>
        <v>-49.075463639507689</v>
      </c>
      <c r="L41">
        <f>G41*$N$2-'q,d_sum'!G41</f>
        <v>-14.716013372529002</v>
      </c>
    </row>
    <row r="42" spans="1:12" x14ac:dyDescent="0.25">
      <c r="A42" s="1" t="s">
        <v>43</v>
      </c>
      <c r="B42">
        <v>-11.2067</v>
      </c>
      <c r="C42">
        <v>0.61119999999999997</v>
      </c>
      <c r="D42">
        <v>-13.351599999999999</v>
      </c>
      <c r="E42">
        <v>0</v>
      </c>
      <c r="F42">
        <v>0</v>
      </c>
      <c r="G42">
        <v>-10.952199999999999</v>
      </c>
      <c r="J42">
        <f>B42*$N$2-'q,d_sum'!E42</f>
        <v>-29.18006721836872</v>
      </c>
      <c r="K42">
        <f>D42*$N$2-'q,d_sum'!F42</f>
        <v>-49.01883772204279</v>
      </c>
      <c r="L42">
        <f>G42*$N$2-'q,d_sum'!G42</f>
        <v>-14.731077749621798</v>
      </c>
    </row>
    <row r="43" spans="1:12" x14ac:dyDescent="0.25">
      <c r="A43" s="1" t="s">
        <v>44</v>
      </c>
      <c r="B43">
        <v>-11.3376</v>
      </c>
      <c r="C43">
        <v>0.52749999999999997</v>
      </c>
      <c r="D43">
        <v>-13.4217</v>
      </c>
      <c r="E43">
        <v>0</v>
      </c>
      <c r="F43">
        <v>0</v>
      </c>
      <c r="G43">
        <v>-11.085000000000001</v>
      </c>
      <c r="J43">
        <f>B43*$N$2-'q,d_sum'!E43</f>
        <v>-29.356132125640819</v>
      </c>
      <c r="K43">
        <f>D43*$N$2-'q,d_sum'!F43</f>
        <v>-49.113124582239692</v>
      </c>
      <c r="L43">
        <f>G43*$N$2-'q,d_sum'!G43</f>
        <v>-14.909698220865002</v>
      </c>
    </row>
    <row r="44" spans="1:12" x14ac:dyDescent="0.25">
      <c r="A44" s="1" t="s">
        <v>45</v>
      </c>
      <c r="B44">
        <f>(energies!C44-energies!D44)/(2*$N$5)*$N$2</f>
        <v>-5.696211535505034</v>
      </c>
      <c r="D44">
        <f>(energies!E44-energies!F44)/(2*$N$5)*$N$2</f>
        <v>-5.696211535505034</v>
      </c>
      <c r="G44">
        <f>(energies!G44-energies!H44)/(2*$N$5)*$N$2</f>
        <v>-3.1857794967671764</v>
      </c>
      <c r="J44">
        <f>B44*$N$2-'q,d_sum'!E44</f>
        <v>-7.6615963010004595</v>
      </c>
      <c r="K44">
        <f>D44*$N$2-'q,d_sum'!F44</f>
        <v>-7.6615963010004595</v>
      </c>
      <c r="L44">
        <f>G44*$N$2-'q,d_sum'!G44</f>
        <v>-7.286552402941652</v>
      </c>
    </row>
    <row r="45" spans="1:12" x14ac:dyDescent="0.25">
      <c r="A45" s="1" t="s">
        <v>46</v>
      </c>
      <c r="B45">
        <v>-5.8505000000000003</v>
      </c>
      <c r="C45">
        <v>0</v>
      </c>
      <c r="D45">
        <v>-5.8505000000000003</v>
      </c>
      <c r="E45">
        <v>0</v>
      </c>
      <c r="F45">
        <v>0</v>
      </c>
      <c r="G45">
        <v>-3.4070999999999998</v>
      </c>
      <c r="J45">
        <f>B45*$N$2-'q,d_sum'!E45</f>
        <v>-7.8691194804845006</v>
      </c>
      <c r="K45">
        <f>D45*$N$2-'q,d_sum'!F45</f>
        <v>-7.8691194804845006</v>
      </c>
      <c r="L45">
        <f>G45*$N$2-'q,d_sum'!G45</f>
        <v>-7.5842359314298236</v>
      </c>
    </row>
    <row r="46" spans="1:12" x14ac:dyDescent="0.25">
      <c r="A46" s="1" t="s">
        <v>47</v>
      </c>
      <c r="B46">
        <v>-5.9602000000000004</v>
      </c>
      <c r="C46">
        <v>0</v>
      </c>
      <c r="D46">
        <v>-5.9602000000000004</v>
      </c>
      <c r="E46">
        <v>0</v>
      </c>
      <c r="F46">
        <v>0</v>
      </c>
      <c r="G46">
        <v>-3.5457999999999998</v>
      </c>
      <c r="J46">
        <f>B46*$N$2-'q,d_sum'!E46</f>
        <v>-8.0166696739737997</v>
      </c>
      <c r="K46">
        <f>D46*$N$2-'q,d_sum'!F46</f>
        <v>-8.0166696739737997</v>
      </c>
      <c r="L46">
        <f>G46*$N$2-'q,d_sum'!G46</f>
        <v>-7.7707921013201222</v>
      </c>
    </row>
    <row r="47" spans="1:12" x14ac:dyDescent="0.25">
      <c r="A47" s="1" t="s">
        <v>48</v>
      </c>
      <c r="B47">
        <v>-5.7851999999999997</v>
      </c>
      <c r="C47">
        <v>0</v>
      </c>
      <c r="D47">
        <v>-5.7851999999999997</v>
      </c>
      <c r="E47">
        <v>0</v>
      </c>
      <c r="F47">
        <v>0</v>
      </c>
      <c r="G47">
        <v>-3.3224</v>
      </c>
      <c r="J47">
        <f>B47*$N$2-'q,d_sum'!E47</f>
        <v>-7.7812887818987999</v>
      </c>
      <c r="K47">
        <f>D47*$N$2-'q,d_sum'!F47</f>
        <v>-7.7812887818987999</v>
      </c>
      <c r="L47">
        <f>G47*$N$2-'q,d_sum'!G47</f>
        <v>-7.4703115796655233</v>
      </c>
    </row>
    <row r="48" spans="1:12" x14ac:dyDescent="0.25">
      <c r="A48" s="1" t="s">
        <v>49</v>
      </c>
      <c r="B48">
        <v>-5.8385999999999996</v>
      </c>
      <c r="C48">
        <v>0</v>
      </c>
      <c r="D48">
        <v>-5.8385999999999996</v>
      </c>
      <c r="E48">
        <v>0</v>
      </c>
      <c r="F48">
        <v>0</v>
      </c>
      <c r="G48">
        <v>-3.3988999999999998</v>
      </c>
      <c r="J48">
        <f>B48*$N$2-'q,d_sum'!E48</f>
        <v>-7.8531135798233995</v>
      </c>
      <c r="K48">
        <f>D48*$N$2-'q,d_sum'!F48</f>
        <v>-7.8531135798233995</v>
      </c>
      <c r="L48">
        <f>G48*$N$2-'q,d_sum'!G48</f>
        <v>-7.5732066553440234</v>
      </c>
    </row>
    <row r="49" spans="1:12" x14ac:dyDescent="0.25">
      <c r="A49" s="1" t="s">
        <v>50</v>
      </c>
      <c r="B49">
        <v>-5.9602000000000004</v>
      </c>
      <c r="C49">
        <v>0</v>
      </c>
      <c r="D49">
        <v>-5.9602000000000004</v>
      </c>
      <c r="E49">
        <v>0</v>
      </c>
      <c r="F49">
        <v>0</v>
      </c>
      <c r="G49">
        <v>-3.5457999999999998</v>
      </c>
      <c r="J49">
        <f>B49*$N$2-'q,d_sum'!E49</f>
        <v>-8.0166696739737997</v>
      </c>
      <c r="K49">
        <f>D49*$N$2-'q,d_sum'!F49</f>
        <v>-8.0166696739737997</v>
      </c>
      <c r="L49">
        <f>G49*$N$2-'q,d_sum'!G49</f>
        <v>-7.7707921013201222</v>
      </c>
    </row>
    <row r="50" spans="1:12" x14ac:dyDescent="0.25">
      <c r="A50" s="1" t="s">
        <v>51</v>
      </c>
      <c r="B50">
        <f>(energies!C50-energies!D50)/(2*$N$5)*$N$2</f>
        <v>-9.7503622544206241</v>
      </c>
      <c r="D50">
        <f>(energies!E50-energies!F50)/(2*$N$5)*$N$2</f>
        <v>-10.935347004636622</v>
      </c>
      <c r="G50">
        <f>(energies!G50-energies!H50)/(2*$N$5)*$N$2</f>
        <v>-10.930301110708527</v>
      </c>
      <c r="J50">
        <f>B50*$N$2-'q,d_sum'!E50</f>
        <v>-16.088151720706339</v>
      </c>
      <c r="K50">
        <f>D50*$N$2-'q,d_sum'!F50</f>
        <v>-42.849509195666343</v>
      </c>
      <c r="L50">
        <f>G50*$N$2-'q,d_sum'!G50</f>
        <v>-14.701623006211065</v>
      </c>
    </row>
    <row r="51" spans="1:12" x14ac:dyDescent="0.25">
      <c r="A51" s="1" t="s">
        <v>52</v>
      </c>
      <c r="B51">
        <v>-9.9966000000000008</v>
      </c>
      <c r="C51">
        <v>1.6435</v>
      </c>
      <c r="D51">
        <v>-10.995799999999999</v>
      </c>
      <c r="E51">
        <v>0</v>
      </c>
      <c r="F51">
        <v>0</v>
      </c>
      <c r="G51">
        <v>-11.085000000000001</v>
      </c>
      <c r="J51">
        <f>B51*$N$2-'q,d_sum'!E51</f>
        <v>-16.419349779089256</v>
      </c>
      <c r="K51">
        <f>D51*$N$2-'q,d_sum'!F51</f>
        <v>-42.930820509821984</v>
      </c>
      <c r="L51">
        <f>G51*$N$2-'q,d_sum'!G51</f>
        <v>-14.909698220865002</v>
      </c>
    </row>
    <row r="52" spans="1:12" x14ac:dyDescent="0.25">
      <c r="A52" s="1" t="s">
        <v>53</v>
      </c>
      <c r="B52">
        <v>-10.208399999999999</v>
      </c>
      <c r="C52">
        <v>1.5790999999999999</v>
      </c>
      <c r="D52">
        <v>-11.1631</v>
      </c>
      <c r="E52">
        <v>0</v>
      </c>
      <c r="F52">
        <v>0</v>
      </c>
      <c r="G52">
        <v>-11.194900000000001</v>
      </c>
      <c r="J52">
        <f>B52*$N$2-'q,d_sum'!E52</f>
        <v>-16.704227910183452</v>
      </c>
      <c r="K52">
        <f>D52*$N$2-'q,d_sum'!F52</f>
        <v>-43.15584464264569</v>
      </c>
      <c r="L52">
        <f>G52*$N$2-'q,d_sum'!G52</f>
        <v>-15.0575174210881</v>
      </c>
    </row>
    <row r="53" spans="1:12" x14ac:dyDescent="0.25">
      <c r="A53" s="1" t="s">
        <v>54</v>
      </c>
      <c r="B53">
        <v>-9.8884000000000007</v>
      </c>
      <c r="C53">
        <v>1.6677</v>
      </c>
      <c r="D53">
        <v>-10.885199999999999</v>
      </c>
      <c r="E53">
        <v>0</v>
      </c>
      <c r="F53">
        <v>0</v>
      </c>
      <c r="G53">
        <v>-11.001200000000001</v>
      </c>
      <c r="J53">
        <f>B53*$N$2-'q,d_sum'!E53</f>
        <v>-16.273817136103453</v>
      </c>
      <c r="K53">
        <f>D53*$N$2-'q,d_sum'!F53</f>
        <v>-42.782059786030587</v>
      </c>
      <c r="L53">
        <f>G53*$N$2-'q,d_sum'!G53</f>
        <v>-14.796984399402801</v>
      </c>
    </row>
    <row r="54" spans="1:12" x14ac:dyDescent="0.25">
      <c r="A54" s="1" t="s">
        <v>55</v>
      </c>
      <c r="B54">
        <v>-10.0002</v>
      </c>
      <c r="C54">
        <v>1.6215999999999999</v>
      </c>
      <c r="D54">
        <v>-10.9459</v>
      </c>
      <c r="E54">
        <v>0</v>
      </c>
      <c r="F54">
        <v>0</v>
      </c>
      <c r="G54">
        <v>-11.0383</v>
      </c>
      <c r="J54">
        <f>B54*$N$2-'q,d_sum'!E54</f>
        <v>-16.424191900297654</v>
      </c>
      <c r="K54">
        <f>D54*$N$2-'q,d_sum'!F54</f>
        <v>-42.863703329738883</v>
      </c>
      <c r="L54">
        <f>G54*$N$2-'q,d_sum'!G54</f>
        <v>-14.846885148522698</v>
      </c>
    </row>
    <row r="55" spans="1:12" x14ac:dyDescent="0.25">
      <c r="A55" s="1" t="s">
        <v>56</v>
      </c>
      <c r="B55">
        <v>-10.208399999999999</v>
      </c>
      <c r="C55">
        <v>1.5790999999999999</v>
      </c>
      <c r="D55">
        <v>-11.1631</v>
      </c>
      <c r="E55">
        <v>0</v>
      </c>
      <c r="F55">
        <v>0</v>
      </c>
      <c r="G55">
        <v>-11.194900000000001</v>
      </c>
      <c r="J55">
        <f>B55*$N$2-'q,d_sum'!E55</f>
        <v>-16.704227910183452</v>
      </c>
      <c r="K55">
        <f>D55*$N$2-'q,d_sum'!F55</f>
        <v>-43.15584464264569</v>
      </c>
      <c r="L55">
        <f>G55*$N$2-'q,d_sum'!G55</f>
        <v>-15.0575174210881</v>
      </c>
    </row>
    <row r="56" spans="1:12" x14ac:dyDescent="0.25">
      <c r="A56" s="1" t="s">
        <v>57</v>
      </c>
      <c r="B56">
        <f>(energies!C56-energies!D56)/(2*$N$5)*$N$2</f>
        <v>-10.40044459983241</v>
      </c>
      <c r="D56">
        <f>(energies!E56-energies!F56)/(2*$N$5)*$N$2</f>
        <v>-10.40044459983241</v>
      </c>
      <c r="G56">
        <f>(energies!G56-energies!H56)/(2*$N$5)*$N$2</f>
        <v>-11.638967070147206</v>
      </c>
      <c r="J56">
        <f>B56*$N$2-'q,d_sum'!E56</f>
        <v>-13.988948159343822</v>
      </c>
      <c r="K56">
        <f>D56*$N$2-'q,d_sum'!F56</f>
        <v>-13.988948159343822</v>
      </c>
      <c r="L56">
        <f>G56*$N$2-'q,d_sum'!G56</f>
        <v>-30.712402593764722</v>
      </c>
    </row>
    <row r="57" spans="1:12" x14ac:dyDescent="0.25">
      <c r="A57" s="1" t="s">
        <v>58</v>
      </c>
      <c r="B57">
        <v>-10.2842</v>
      </c>
      <c r="C57">
        <v>0</v>
      </c>
      <c r="D57">
        <v>-10.2842</v>
      </c>
      <c r="E57">
        <v>0</v>
      </c>
      <c r="F57">
        <v>0</v>
      </c>
      <c r="G57">
        <v>-11.7202</v>
      </c>
      <c r="J57">
        <f>B57*$N$2-'q,d_sum'!E57</f>
        <v>-13.8325952587298</v>
      </c>
      <c r="K57">
        <f>D57*$N$2-'q,d_sum'!F57</f>
        <v>-13.8325952587298</v>
      </c>
      <c r="L57">
        <f>G57*$N$2-'q,d_sum'!G57</f>
        <v>-30.821663619448245</v>
      </c>
    </row>
    <row r="58" spans="1:12" x14ac:dyDescent="0.25">
      <c r="A58" s="1" t="s">
        <v>59</v>
      </c>
      <c r="B58">
        <v>-10.319800000000001</v>
      </c>
      <c r="C58">
        <v>0</v>
      </c>
      <c r="D58">
        <v>-10.319800000000001</v>
      </c>
      <c r="E58">
        <v>0</v>
      </c>
      <c r="F58">
        <v>0</v>
      </c>
      <c r="G58">
        <v>-11.850099999999999</v>
      </c>
      <c r="J58">
        <f>B58*$N$2-'q,d_sum'!E58</f>
        <v>-13.8804784573462</v>
      </c>
      <c r="K58">
        <f>D58*$N$2-'q,d_sum'!F58</f>
        <v>-13.8804784573462</v>
      </c>
      <c r="L58">
        <f>G58*$N$2-'q,d_sum'!G58</f>
        <v>-30.996383493051344</v>
      </c>
    </row>
    <row r="59" spans="1:12" x14ac:dyDescent="0.25">
      <c r="A59" s="1" t="s">
        <v>60</v>
      </c>
      <c r="B59">
        <v>-10.2478</v>
      </c>
      <c r="C59">
        <v>0</v>
      </c>
      <c r="D59">
        <v>-10.2478</v>
      </c>
      <c r="E59">
        <v>0</v>
      </c>
      <c r="F59">
        <v>0</v>
      </c>
      <c r="G59">
        <v>-11.656599999999999</v>
      </c>
      <c r="J59">
        <f>B59*$N$2-'q,d_sum'!E59</f>
        <v>-13.783636033178199</v>
      </c>
      <c r="K59">
        <f>D59*$N$2-'q,d_sum'!F59</f>
        <v>-13.783636033178199</v>
      </c>
      <c r="L59">
        <f>G59*$N$2-'q,d_sum'!G59</f>
        <v>-30.736119478099845</v>
      </c>
    </row>
    <row r="60" spans="1:12" x14ac:dyDescent="0.25">
      <c r="A60" s="1" t="s">
        <v>61</v>
      </c>
      <c r="B60">
        <v>-10.226000000000001</v>
      </c>
      <c r="C60">
        <v>0</v>
      </c>
      <c r="D60">
        <v>-10.226000000000001</v>
      </c>
      <c r="E60">
        <v>0</v>
      </c>
      <c r="F60">
        <v>0</v>
      </c>
      <c r="G60">
        <v>-11.7324</v>
      </c>
      <c r="J60">
        <f>B60*$N$2-'q,d_sum'!E60</f>
        <v>-13.754314299194</v>
      </c>
      <c r="K60">
        <f>D60*$N$2-'q,d_sum'!F60</f>
        <v>-13.754314299194</v>
      </c>
      <c r="L60">
        <f>G60*$N$2-'q,d_sum'!G60</f>
        <v>-30.838073030210047</v>
      </c>
    </row>
    <row r="61" spans="1:12" x14ac:dyDescent="0.25">
      <c r="A61" s="1" t="s">
        <v>62</v>
      </c>
      <c r="B61">
        <v>-10.319800000000001</v>
      </c>
      <c r="C61">
        <v>0</v>
      </c>
      <c r="D61">
        <v>-10.319800000000001</v>
      </c>
      <c r="E61">
        <v>0</v>
      </c>
      <c r="F61">
        <v>0</v>
      </c>
      <c r="G61">
        <v>-11.850099999999999</v>
      </c>
      <c r="J61">
        <f>B61*$N$2-'q,d_sum'!E61</f>
        <v>-13.8804784573462</v>
      </c>
      <c r="K61">
        <f>D61*$N$2-'q,d_sum'!F61</f>
        <v>-13.8804784573462</v>
      </c>
      <c r="L61">
        <f>G61*$N$2-'q,d_sum'!G61</f>
        <v>-30.996383493051344</v>
      </c>
    </row>
    <row r="62" spans="1:12" x14ac:dyDescent="0.25">
      <c r="A62" s="1" t="s">
        <v>63</v>
      </c>
      <c r="B62">
        <f>(energies!C62-energies!D62)/(2*$N$5)*$N$2</f>
        <v>-6.7270930881566713</v>
      </c>
      <c r="D62">
        <f>(energies!E62-energies!F62)/(2*$N$5)*$N$2</f>
        <v>-5.415368505499953</v>
      </c>
      <c r="G62">
        <f>(energies!G62-energies!H62)/(2*$N$5)*$N$2</f>
        <v>-7.5672724046594952</v>
      </c>
      <c r="J62">
        <f>B62*$N$2-'q,d_sum'!E62</f>
        <v>-9.0481666980679076</v>
      </c>
      <c r="K62">
        <f>D62*$N$2-'q,d_sum'!F62</f>
        <v>-7.2838529699396481</v>
      </c>
      <c r="L62">
        <f>G62*$N$2-'q,d_sum'!G62</f>
        <v>-37.041841200325891</v>
      </c>
    </row>
    <row r="63" spans="1:12" x14ac:dyDescent="0.25">
      <c r="A63" s="1" t="s">
        <v>64</v>
      </c>
      <c r="B63">
        <v>-5.5457000000000001</v>
      </c>
      <c r="C63">
        <v>0</v>
      </c>
      <c r="D63">
        <v>-6.8764000000000003</v>
      </c>
      <c r="E63">
        <v>0</v>
      </c>
      <c r="F63">
        <v>0</v>
      </c>
      <c r="G63">
        <v>-7.5372000000000003</v>
      </c>
      <c r="J63">
        <f>B63*$N$2-'q,d_sum'!E63</f>
        <v>-7.4591532181733005</v>
      </c>
      <c r="K63">
        <f>D63*$N$2-'q,d_sum'!F63</f>
        <v>-9.2489895215116</v>
      </c>
      <c r="L63">
        <f>G63*$N$2-'q,d_sum'!G63</f>
        <v>-37.001392803551077</v>
      </c>
    </row>
    <row r="64" spans="1:12" x14ac:dyDescent="0.25">
      <c r="A64" s="1" t="s">
        <v>65</v>
      </c>
      <c r="B64">
        <v>-5.6403999999999996</v>
      </c>
      <c r="C64">
        <v>0</v>
      </c>
      <c r="D64">
        <v>-7.0038</v>
      </c>
      <c r="E64">
        <v>0</v>
      </c>
      <c r="F64">
        <v>0</v>
      </c>
      <c r="G64">
        <v>-7.5712999999999999</v>
      </c>
      <c r="J64">
        <f>B64*$N$2-'q,d_sum'!E64</f>
        <v>-7.586527906627599</v>
      </c>
      <c r="K64">
        <f>D64*$N$2-'q,d_sum'!F64</f>
        <v>-9.4203468109422008</v>
      </c>
      <c r="L64">
        <f>G64*$N$2-'q,d_sum'!G64</f>
        <v>-37.047258451663978</v>
      </c>
    </row>
    <row r="65" spans="1:12" x14ac:dyDescent="0.25">
      <c r="A65" s="1" t="s">
        <v>66</v>
      </c>
      <c r="B65">
        <v>-5.4775</v>
      </c>
      <c r="C65">
        <v>0</v>
      </c>
      <c r="D65">
        <v>-6.8033999999999999</v>
      </c>
      <c r="E65">
        <v>0</v>
      </c>
      <c r="F65">
        <v>0</v>
      </c>
      <c r="G65">
        <v>-7.5166000000000004</v>
      </c>
      <c r="J65">
        <f>B65*$N$2-'q,d_sum'!E65</f>
        <v>-7.3674219219474999</v>
      </c>
      <c r="K65">
        <f>D65*$N$2-'q,d_sum'!F65</f>
        <v>-9.1508020636746004</v>
      </c>
      <c r="L65">
        <f>G65*$N$2-'q,d_sum'!G65</f>
        <v>-36.973685109969679</v>
      </c>
    </row>
    <row r="66" spans="1:12" x14ac:dyDescent="0.25">
      <c r="A66" s="1" t="s">
        <v>67</v>
      </c>
      <c r="B66">
        <v>-5.5148000000000001</v>
      </c>
      <c r="C66">
        <v>0</v>
      </c>
      <c r="D66">
        <v>-6.8636999999999997</v>
      </c>
      <c r="E66">
        <v>0</v>
      </c>
      <c r="F66">
        <v>0</v>
      </c>
      <c r="G66">
        <v>-7.5176999999999996</v>
      </c>
      <c r="J66">
        <f>B66*$N$2-'q,d_sum'!E66</f>
        <v>-7.4175916778011999</v>
      </c>
      <c r="K66">
        <f>D66*$N$2-'q,d_sum'!F66</f>
        <v>-9.2319075939152988</v>
      </c>
      <c r="L66">
        <f>G66*$N$2-'q,d_sum'!G66</f>
        <v>-36.975164647005577</v>
      </c>
    </row>
    <row r="67" spans="1:12" x14ac:dyDescent="0.25">
      <c r="A67" s="1" t="s">
        <v>68</v>
      </c>
      <c r="B67">
        <v>-5.6403999999999996</v>
      </c>
      <c r="C67">
        <v>0</v>
      </c>
      <c r="D67">
        <v>-7.0038</v>
      </c>
      <c r="E67">
        <v>0</v>
      </c>
      <c r="F67">
        <v>0</v>
      </c>
      <c r="G67">
        <v>-7.5712999999999999</v>
      </c>
      <c r="J67">
        <f>B67*$N$2-'q,d_sum'!E67</f>
        <v>-7.586527906627599</v>
      </c>
      <c r="K67">
        <f>D67*$N$2-'q,d_sum'!F67</f>
        <v>-9.4203468109422008</v>
      </c>
      <c r="L67">
        <f>G67*$N$2-'q,d_sum'!G67</f>
        <v>-37.047258451663978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83BA-63BB-4E65-8233-DA634811024F}">
  <dimension ref="A1:S67"/>
  <sheetViews>
    <sheetView workbookViewId="0">
      <selection activeCell="J36" sqref="J36"/>
    </sheetView>
  </sheetViews>
  <sheetFormatPr defaultRowHeight="15" x14ac:dyDescent="0.25"/>
  <cols>
    <col min="1" max="1" width="11.42578125" bestFit="1" customWidth="1"/>
    <col min="13" max="13" width="17.42578125" bestFit="1" customWidth="1"/>
    <col min="14" max="14" width="12" bestFit="1" customWidth="1"/>
    <col min="18" max="18" width="11.42578125" bestFit="1" customWidth="1"/>
  </cols>
  <sheetData>
    <row r="1" spans="1:19" x14ac:dyDescent="0.25">
      <c r="B1" t="s">
        <v>92</v>
      </c>
      <c r="C1" t="s">
        <v>70</v>
      </c>
      <c r="D1" t="s">
        <v>72</v>
      </c>
      <c r="E1" t="s">
        <v>74</v>
      </c>
      <c r="M1" t="s">
        <v>1</v>
      </c>
      <c r="Q1" t="s">
        <v>167</v>
      </c>
      <c r="S1" t="s">
        <v>74</v>
      </c>
    </row>
    <row r="2" spans="1:19" x14ac:dyDescent="0.25">
      <c r="A2" t="s">
        <v>2</v>
      </c>
      <c r="B2">
        <v>13</v>
      </c>
      <c r="C2">
        <f>SQRT((quadrupoles!J2/-stdev!B2)-(dipoles!H2/-stdev!B2)^2)</f>
        <v>1.1582984099215232</v>
      </c>
      <c r="D2">
        <f>SQRT((quadrupoles!K2/-stdev!B2)-(dipoles!I2/-stdev!B2)^2)</f>
        <v>1.1582984099215232</v>
      </c>
      <c r="E2">
        <f>SQRT((quadrupoles!L2/-stdev!B2)-(dipoles!J2/-stdev!B2)^2)</f>
        <v>1.6981447914296268</v>
      </c>
      <c r="M2" t="s">
        <v>88</v>
      </c>
      <c r="N2">
        <f>1/0.3934303*0.529177</f>
        <v>1.3450336692420486</v>
      </c>
      <c r="R2" t="s">
        <v>45</v>
      </c>
      <c r="S2">
        <v>0.81785933881478079</v>
      </c>
    </row>
    <row r="3" spans="1:19" x14ac:dyDescent="0.25">
      <c r="A3" t="s">
        <v>3</v>
      </c>
      <c r="B3">
        <v>13</v>
      </c>
      <c r="C3">
        <f>SQRT((quadrupoles!J3/-stdev!B3)-(dipoles!H3/-stdev!B3)^2)</f>
        <v>1.1547056350521412</v>
      </c>
      <c r="D3">
        <f>SQRT((quadrupoles!K3/-stdev!B3)-(dipoles!I3/-stdev!B3)^2)</f>
        <v>1.1547043874916811</v>
      </c>
      <c r="E3">
        <f>SQRT((quadrupoles!L3/-stdev!B3)-(dipoles!J3/-stdev!B3)^2)</f>
        <v>1.6716708328908005</v>
      </c>
      <c r="R3" t="s">
        <v>48</v>
      </c>
      <c r="S3">
        <v>0.85837318662627127</v>
      </c>
    </row>
    <row r="4" spans="1:19" x14ac:dyDescent="0.25">
      <c r="A4" t="s">
        <v>4</v>
      </c>
      <c r="B4">
        <v>13</v>
      </c>
      <c r="C4">
        <f>SQRT((quadrupoles!J4/-stdev!B4)-(dipoles!H4/-stdev!B4)^2)</f>
        <v>1.1553302612039287</v>
      </c>
      <c r="D4">
        <f>SQRT((quadrupoles!K4/-stdev!B4)-(dipoles!I4/-stdev!B4)^2)</f>
        <v>1.1553314330917874</v>
      </c>
      <c r="E4">
        <f>SQRT((quadrupoles!L4/-stdev!B4)-(dipoles!J4/-stdev!B4)^2)</f>
        <v>1.678921113656453</v>
      </c>
      <c r="R4" t="s">
        <v>49</v>
      </c>
      <c r="S4">
        <v>0.86415389319549474</v>
      </c>
    </row>
    <row r="5" spans="1:19" x14ac:dyDescent="0.25">
      <c r="A5" t="s">
        <v>5</v>
      </c>
      <c r="B5">
        <v>13</v>
      </c>
      <c r="C5">
        <f>SQRT((quadrupoles!J5/-stdev!B5)-(dipoles!H5/-stdev!B5)^2)</f>
        <v>1.1537825808210065</v>
      </c>
      <c r="D5">
        <f>SQRT((quadrupoles!K5/-stdev!B5)-(dipoles!I5/-stdev!B5)^2)</f>
        <v>1.1537811150507775</v>
      </c>
      <c r="E5">
        <f>SQRT((quadrupoles!L5/-stdev!B5)-(dipoles!J5/-stdev!B5)^2)</f>
        <v>1.6677626619101189</v>
      </c>
      <c r="R5" t="s">
        <v>46</v>
      </c>
      <c r="S5">
        <v>0.86484405613142512</v>
      </c>
    </row>
    <row r="6" spans="1:19" x14ac:dyDescent="0.25">
      <c r="A6" t="s">
        <v>6</v>
      </c>
      <c r="B6">
        <v>13</v>
      </c>
      <c r="C6">
        <f>SQRT((quadrupoles!J6/-stdev!B6)-(dipoles!H6/-stdev!B6)^2)</f>
        <v>1.1521491807834694</v>
      </c>
      <c r="D6">
        <f>SQRT((quadrupoles!K6/-stdev!B6)-(dipoles!I6/-stdev!B6)^2)</f>
        <v>1.1521478929263445</v>
      </c>
      <c r="E6">
        <f>SQRT((quadrupoles!L6/-stdev!B6)-(dipoles!J6/-stdev!B6)^2)</f>
        <v>1.670651759731236</v>
      </c>
      <c r="M6" t="s">
        <v>89</v>
      </c>
      <c r="N6">
        <v>0.39343030000000001</v>
      </c>
      <c r="R6" t="s">
        <v>47</v>
      </c>
      <c r="S6">
        <v>0.87529819831628797</v>
      </c>
    </row>
    <row r="7" spans="1:19" x14ac:dyDescent="0.25">
      <c r="A7" t="s">
        <v>7</v>
      </c>
      <c r="B7">
        <v>13</v>
      </c>
      <c r="C7">
        <f>SQRT((quadrupoles!J7/-stdev!B7)-(dipoles!H7/-stdev!B7)^2)</f>
        <v>1.1553302612039287</v>
      </c>
      <c r="D7">
        <f>SQRT((quadrupoles!K7/-stdev!B7)-(dipoles!I7/-stdev!B7)^2)</f>
        <v>1.1553314330917874</v>
      </c>
      <c r="E7">
        <f>SQRT((quadrupoles!L7/-stdev!B7)-(dipoles!J7/-stdev!B7)^2)</f>
        <v>1.678921113656453</v>
      </c>
      <c r="R7" t="s">
        <v>50</v>
      </c>
      <c r="S7">
        <v>0.87529819831628797</v>
      </c>
    </row>
    <row r="8" spans="1:19" x14ac:dyDescent="0.25">
      <c r="A8" t="s">
        <v>8</v>
      </c>
      <c r="B8">
        <v>10</v>
      </c>
      <c r="C8">
        <f>SQRT((quadrupoles!J8/-stdev!B8)-(dipoles!H8/-stdev!B8)^2)</f>
        <v>1.3015119116554674</v>
      </c>
      <c r="D8">
        <f>SQRT((quadrupoles!K8/-stdev!B8)-(dipoles!I8/-stdev!B8)^2)</f>
        <v>1.3015119116554674</v>
      </c>
      <c r="E8">
        <f>SQRT((quadrupoles!L8/-stdev!B8)-(dipoles!J8/-stdev!B8)^2)</f>
        <v>1.3015119116554674</v>
      </c>
      <c r="R8" t="s">
        <v>51</v>
      </c>
      <c r="S8">
        <v>0.929946962630952</v>
      </c>
    </row>
    <row r="9" spans="1:19" x14ac:dyDescent="0.25">
      <c r="A9" t="s">
        <v>9</v>
      </c>
      <c r="B9">
        <v>10</v>
      </c>
      <c r="C9">
        <f>SQRT((quadrupoles!J9/-stdev!B9)-(dipoles!H9/-stdev!B9)^2)</f>
        <v>1.3006465275340067</v>
      </c>
      <c r="D9">
        <f>SQRT((quadrupoles!K9/-stdev!B9)-(dipoles!I9/-stdev!B9)^2)</f>
        <v>1.3006465275340067</v>
      </c>
      <c r="E9">
        <f>SQRT((quadrupoles!L9/-stdev!B9)-(dipoles!J9/-stdev!B9)^2)</f>
        <v>1.3006465275340067</v>
      </c>
      <c r="R9" t="s">
        <v>54</v>
      </c>
      <c r="S9">
        <v>0.93295811643593851</v>
      </c>
    </row>
    <row r="10" spans="1:19" x14ac:dyDescent="0.25">
      <c r="A10" t="s">
        <v>10</v>
      </c>
      <c r="B10">
        <v>10</v>
      </c>
      <c r="C10">
        <f>SQRT((quadrupoles!J10/-stdev!B10)-(dipoles!H10/-stdev!B10)^2)</f>
        <v>1.3057914746490726</v>
      </c>
      <c r="D10">
        <f>SQRT((quadrupoles!K10/-stdev!B10)-(dipoles!I10/-stdev!B10)^2)</f>
        <v>1.3057914746490726</v>
      </c>
      <c r="E10">
        <f>SQRT((quadrupoles!L10/-stdev!B10)-(dipoles!J10/-stdev!B10)^2)</f>
        <v>1.3057914746490726</v>
      </c>
      <c r="R10" t="s">
        <v>55</v>
      </c>
      <c r="S10">
        <v>0.93452992740051799</v>
      </c>
    </row>
    <row r="11" spans="1:19" x14ac:dyDescent="0.25">
      <c r="A11" t="s">
        <v>11</v>
      </c>
      <c r="B11">
        <v>10</v>
      </c>
      <c r="C11">
        <f>SQRT((quadrupoles!J11/-stdev!B11)-(dipoles!H11/-stdev!B11)^2)</f>
        <v>1.2982036938279715</v>
      </c>
      <c r="D11">
        <f>SQRT((quadrupoles!K11/-stdev!B11)-(dipoles!I11/-stdev!B11)^2)</f>
        <v>1.2982036938279715</v>
      </c>
      <c r="E11">
        <f>SQRT((quadrupoles!L11/-stdev!B11)-(dipoles!J11/-stdev!B11)^2)</f>
        <v>1.2982036938279715</v>
      </c>
      <c r="R11" t="s">
        <v>52</v>
      </c>
      <c r="S11">
        <v>0.93650470998046154</v>
      </c>
    </row>
    <row r="12" spans="1:19" x14ac:dyDescent="0.25">
      <c r="A12" t="s">
        <v>12</v>
      </c>
      <c r="B12">
        <v>10</v>
      </c>
      <c r="C12">
        <f>SQRT((quadrupoles!J12/-stdev!B12)-(dipoles!H12/-stdev!B12)^2)</f>
        <v>1.2998241365863921</v>
      </c>
      <c r="D12">
        <f>SQRT((quadrupoles!K12/-stdev!B12)-(dipoles!I12/-stdev!B12)^2)</f>
        <v>1.2998241365863921</v>
      </c>
      <c r="E12">
        <f>SQRT((quadrupoles!L12/-stdev!B12)-(dipoles!J12/-stdev!B12)^2)</f>
        <v>1.2998241365863921</v>
      </c>
      <c r="M12" t="s">
        <v>84</v>
      </c>
      <c r="N12">
        <v>1.8897299999999999</v>
      </c>
      <c r="R12" t="s">
        <v>53</v>
      </c>
      <c r="S12">
        <v>0.94113565381805364</v>
      </c>
    </row>
    <row r="13" spans="1:19" x14ac:dyDescent="0.25">
      <c r="A13" t="s">
        <v>13</v>
      </c>
      <c r="B13">
        <v>10</v>
      </c>
      <c r="C13">
        <f>SQRT((quadrupoles!J13/-stdev!B13)-(dipoles!H13/-stdev!B13)^2)</f>
        <v>1.3057914746490726</v>
      </c>
      <c r="D13">
        <f>SQRT((quadrupoles!K13/-stdev!B13)-(dipoles!I13/-stdev!B13)^2)</f>
        <v>1.3057914746490726</v>
      </c>
      <c r="E13">
        <f>SQRT((quadrupoles!L13/-stdev!B13)-(dipoles!J13/-stdev!B13)^2)</f>
        <v>1.3057914746490726</v>
      </c>
      <c r="R13" t="s">
        <v>56</v>
      </c>
      <c r="S13">
        <v>0.94113565381805364</v>
      </c>
    </row>
    <row r="14" spans="1:19" x14ac:dyDescent="0.25">
      <c r="A14" t="s">
        <v>14</v>
      </c>
      <c r="B14">
        <v>13</v>
      </c>
      <c r="C14">
        <f>SQRT((quadrupoles!J14/-stdev!B14)-(dipoles!H14/-stdev!B14)^2)</f>
        <v>1.0689095723889024</v>
      </c>
      <c r="D14">
        <f>SQRT((quadrupoles!K14/-stdev!B14)-(dipoles!I14/-stdev!B14)^2)</f>
        <v>1.0689095723889024</v>
      </c>
      <c r="E14">
        <f>SQRT((quadrupoles!L14/-stdev!B14)-(dipoles!J14/-stdev!B14)^2)</f>
        <v>1.3972208851020782</v>
      </c>
      <c r="R14" t="s">
        <v>42</v>
      </c>
      <c r="S14">
        <v>0.9904885451980755</v>
      </c>
    </row>
    <row r="15" spans="1:19" x14ac:dyDescent="0.25">
      <c r="A15" t="s">
        <v>15</v>
      </c>
      <c r="B15">
        <v>13</v>
      </c>
      <c r="C15">
        <f>SQRT((quadrupoles!J15/-stdev!B15)-(dipoles!H15/-stdev!B15)^2)</f>
        <v>1.0683853722218366</v>
      </c>
      <c r="D15">
        <f>SQRT((quadrupoles!K15/-stdev!B15)-(dipoles!I15/-stdev!B15)^2)</f>
        <v>1.0683853722218366</v>
      </c>
      <c r="E15">
        <f>SQRT((quadrupoles!L15/-stdev!B15)-(dipoles!J15/-stdev!B15)^2)</f>
        <v>1.4881591913529397</v>
      </c>
      <c r="R15" t="s">
        <v>43</v>
      </c>
      <c r="S15">
        <v>0.9909953834275852</v>
      </c>
    </row>
    <row r="16" spans="1:19" x14ac:dyDescent="0.25">
      <c r="A16" t="s">
        <v>16</v>
      </c>
      <c r="B16">
        <v>13</v>
      </c>
      <c r="C16">
        <f>SQRT((quadrupoles!J16/-stdev!B16)-(dipoles!H16/-stdev!B16)^2)</f>
        <v>1.0694549363179788</v>
      </c>
      <c r="D16">
        <f>SQRT((quadrupoles!K16/-stdev!B16)-(dipoles!I16/-stdev!B16)^2)</f>
        <v>1.0694549363179788</v>
      </c>
      <c r="E16">
        <f>SQRT((quadrupoles!L16/-stdev!B16)-(dipoles!J16/-stdev!B16)^2)</f>
        <v>1.5011067156601614</v>
      </c>
      <c r="N16">
        <f>0.9697*N12</f>
        <v>1.8324711809999998</v>
      </c>
      <c r="R16" t="s">
        <v>40</v>
      </c>
      <c r="S16">
        <v>0.99323232986169285</v>
      </c>
    </row>
    <row r="17" spans="1:19" x14ac:dyDescent="0.25">
      <c r="A17" t="s">
        <v>17</v>
      </c>
      <c r="B17">
        <v>13</v>
      </c>
      <c r="C17">
        <f>SQRT((quadrupoles!J17/-stdev!B17)-(dipoles!H17/-stdev!B17)^2)</f>
        <v>1.066708697225013</v>
      </c>
      <c r="D17">
        <f>SQRT((quadrupoles!K17/-stdev!B17)-(dipoles!I17/-stdev!B17)^2)</f>
        <v>1.066708697225013</v>
      </c>
      <c r="E17">
        <f>SQRT((quadrupoles!L17/-stdev!B17)-(dipoles!J17/-stdev!B17)^2)</f>
        <v>1.4798493471234695</v>
      </c>
      <c r="R17" t="s">
        <v>41</v>
      </c>
      <c r="S17">
        <v>0.99698539677921072</v>
      </c>
    </row>
    <row r="18" spans="1:19" x14ac:dyDescent="0.25">
      <c r="A18" t="s">
        <v>18</v>
      </c>
      <c r="B18">
        <v>13</v>
      </c>
      <c r="C18">
        <f>SQRT((quadrupoles!J18/-stdev!B18)-(dipoles!H18/-stdev!B18)^2)</f>
        <v>1.0653693419617767</v>
      </c>
      <c r="D18">
        <f>SQRT((quadrupoles!K18/-stdev!B18)-(dipoles!I18/-stdev!B18)^2)</f>
        <v>1.0653693419617767</v>
      </c>
      <c r="E18">
        <f>SQRT((quadrupoles!L18/-stdev!B18)-(dipoles!J18/-stdev!B18)^2)</f>
        <v>1.4884671973099024</v>
      </c>
      <c r="R18" t="s">
        <v>44</v>
      </c>
      <c r="S18">
        <v>0.99698539677921072</v>
      </c>
    </row>
    <row r="19" spans="1:19" x14ac:dyDescent="0.25">
      <c r="A19" t="s">
        <v>19</v>
      </c>
      <c r="B19">
        <v>13</v>
      </c>
      <c r="C19">
        <f>SQRT((quadrupoles!J19/-stdev!B19)-(dipoles!H19/-stdev!B19)^2)</f>
        <v>1.0694549363179788</v>
      </c>
      <c r="D19">
        <f>SQRT((quadrupoles!K19/-stdev!B19)-(dipoles!I19/-stdev!B19)^2)</f>
        <v>1.0694549363179788</v>
      </c>
      <c r="E19">
        <f>SQRT((quadrupoles!L19/-stdev!B19)-(dipoles!J19/-stdev!B19)^2)</f>
        <v>1.5011067156601614</v>
      </c>
      <c r="R19" t="s">
        <v>33</v>
      </c>
      <c r="S19">
        <v>1.0152942666866889</v>
      </c>
    </row>
    <row r="20" spans="1:19" x14ac:dyDescent="0.25">
      <c r="A20" t="s">
        <v>20</v>
      </c>
      <c r="B20">
        <v>22</v>
      </c>
      <c r="C20">
        <f>SQRT((quadrupoles!J20/-stdev!B20)-(dipoles!H20/-stdev!B20)^2)</f>
        <v>0.9517130678425505</v>
      </c>
      <c r="D20">
        <f>SQRT((quadrupoles!K20/-stdev!B20)-(dipoles!I20/-stdev!B20)^2)</f>
        <v>0.9517130678425505</v>
      </c>
      <c r="E20">
        <f>SQRT((quadrupoles!L20/-stdev!B20)-(dipoles!J20/-stdev!B20)^2)</f>
        <v>2.1741662885199315</v>
      </c>
      <c r="R20" t="s">
        <v>36</v>
      </c>
      <c r="S20">
        <v>1.0215295964006164</v>
      </c>
    </row>
    <row r="21" spans="1:19" x14ac:dyDescent="0.25">
      <c r="A21" t="s">
        <v>21</v>
      </c>
      <c r="B21">
        <v>22</v>
      </c>
      <c r="C21">
        <f>SQRT((quadrupoles!J21/-stdev!B21)-(dipoles!H21/-stdev!B21)^2)</f>
        <v>0.95155895161150739</v>
      </c>
      <c r="D21">
        <f>SQRT((quadrupoles!K21/-stdev!B21)-(dipoles!I21/-stdev!B21)^2)</f>
        <v>0.95155895161150739</v>
      </c>
      <c r="E21">
        <f>SQRT((quadrupoles!L21/-stdev!B21)-(dipoles!J21/-stdev!B21)^2)</f>
        <v>2.1631464435315007</v>
      </c>
      <c r="R21" t="s">
        <v>37</v>
      </c>
      <c r="S21">
        <v>1.0261577307332475</v>
      </c>
    </row>
    <row r="22" spans="1:19" x14ac:dyDescent="0.25">
      <c r="A22" t="s">
        <v>22</v>
      </c>
      <c r="B22">
        <v>22</v>
      </c>
      <c r="C22">
        <f>SQRT((quadrupoles!J22/-stdev!B22)-(dipoles!H22/-stdev!B22)^2)</f>
        <v>0.95434974468165779</v>
      </c>
      <c r="D22">
        <f>SQRT((quadrupoles!K22/-stdev!B22)-(dipoles!I22/-stdev!B22)^2)</f>
        <v>0.95434974468165779</v>
      </c>
      <c r="E22">
        <f>SQRT((quadrupoles!L22/-stdev!B22)-(dipoles!J22/-stdev!B22)^2)</f>
        <v>2.1615757274662761</v>
      </c>
      <c r="R22" t="s">
        <v>34</v>
      </c>
      <c r="S22">
        <v>1.0263753779265874</v>
      </c>
    </row>
    <row r="23" spans="1:19" x14ac:dyDescent="0.25">
      <c r="A23" t="s">
        <v>23</v>
      </c>
      <c r="B23">
        <v>22</v>
      </c>
      <c r="C23">
        <f>SQRT((quadrupoles!J23/-stdev!B23)-(dipoles!H23/-stdev!B23)^2)</f>
        <v>0.94932363014718635</v>
      </c>
      <c r="D23">
        <f>SQRT((quadrupoles!K23/-stdev!B23)-(dipoles!I23/-stdev!B23)^2)</f>
        <v>0.94932363014718635</v>
      </c>
      <c r="E23">
        <f>SQRT((quadrupoles!L23/-stdev!B23)-(dipoles!J23/-stdev!B23)^2)</f>
        <v>2.163681245290435</v>
      </c>
      <c r="R23" t="s">
        <v>35</v>
      </c>
      <c r="S23">
        <v>1.035576114569269</v>
      </c>
    </row>
    <row r="24" spans="1:19" x14ac:dyDescent="0.25">
      <c r="A24" t="s">
        <v>24</v>
      </c>
      <c r="B24">
        <v>22</v>
      </c>
      <c r="C24">
        <f>SQRT((quadrupoles!J24/-stdev!B24)-(dipoles!H24/-stdev!B24)^2)</f>
        <v>0.94973571050035477</v>
      </c>
      <c r="D24">
        <f>SQRT((quadrupoles!K24/-stdev!B24)-(dipoles!I24/-stdev!B24)^2)</f>
        <v>0.94973571050035477</v>
      </c>
      <c r="E24">
        <f>SQRT((quadrupoles!L24/-stdev!B24)-(dipoles!J24/-stdev!B24)^2)</f>
        <v>2.1618567295283024</v>
      </c>
      <c r="R24" t="s">
        <v>38</v>
      </c>
      <c r="S24">
        <v>1.035576114569269</v>
      </c>
    </row>
    <row r="25" spans="1:19" x14ac:dyDescent="0.25">
      <c r="A25" t="s">
        <v>25</v>
      </c>
      <c r="B25">
        <v>22</v>
      </c>
      <c r="C25">
        <f>SQRT((quadrupoles!J25/-stdev!B25)-(dipoles!H25/-stdev!B25)^2)</f>
        <v>0.95434974468165779</v>
      </c>
      <c r="D25">
        <f>SQRT((quadrupoles!K25/-stdev!B25)-(dipoles!I25/-stdev!B25)^2)</f>
        <v>0.95434974468165779</v>
      </c>
      <c r="E25">
        <f>SQRT((quadrupoles!L25/-stdev!B25)-(dipoles!J25/-stdev!B25)^2)</f>
        <v>2.1615755565976569</v>
      </c>
      <c r="R25" t="s">
        <v>66</v>
      </c>
      <c r="S25">
        <v>1.1001792376888555</v>
      </c>
    </row>
    <row r="26" spans="1:19" x14ac:dyDescent="0.25">
      <c r="A26" t="s">
        <v>26</v>
      </c>
      <c r="B26">
        <v>14</v>
      </c>
      <c r="C26">
        <f>SQRT((quadrupoles!J26/-stdev!B26)-(dipoles!H26/-stdev!B26)^2)</f>
        <v>0.99089543529371349</v>
      </c>
      <c r="D26">
        <f>SQRT((quadrupoles!K26/-stdev!B26)-(dipoles!I26/-stdev!B26)^2)</f>
        <v>0.99089543529371349</v>
      </c>
      <c r="E26">
        <f>SQRT((quadrupoles!L26/-stdev!B26)-(dipoles!J26/-stdev!B26)^2)</f>
        <v>1.5255081688068635</v>
      </c>
      <c r="R26" t="s">
        <v>67</v>
      </c>
      <c r="S26">
        <v>1.1028063165816999</v>
      </c>
    </row>
    <row r="27" spans="1:19" x14ac:dyDescent="0.25">
      <c r="A27" t="s">
        <v>27</v>
      </c>
      <c r="B27">
        <v>14</v>
      </c>
      <c r="C27">
        <f>SQRT((quadrupoles!J27/-stdev!B27)-(dipoles!H27/-stdev!B27)^2)</f>
        <v>0.99232492483976742</v>
      </c>
      <c r="D27">
        <f>SQRT((quadrupoles!K27/-stdev!B27)-(dipoles!I27/-stdev!B27)^2)</f>
        <v>0.99232492483976742</v>
      </c>
      <c r="E27">
        <f>SQRT((quadrupoles!L27/-stdev!B27)-(dipoles!J27/-stdev!B27)^2)</f>
        <v>1.5090006759669121</v>
      </c>
      <c r="R27" t="s">
        <v>64</v>
      </c>
      <c r="S27">
        <v>1.1036553460198975</v>
      </c>
    </row>
    <row r="28" spans="1:19" x14ac:dyDescent="0.25">
      <c r="A28" t="s">
        <v>29</v>
      </c>
      <c r="B28">
        <v>14</v>
      </c>
      <c r="C28">
        <f>SQRT((quadrupoles!J28/-stdev!B28)-(dipoles!H28/-stdev!B28)^2)</f>
        <v>0.99653238148898104</v>
      </c>
      <c r="D28">
        <f>SQRT((quadrupoles!K28/-stdev!B28)-(dipoles!I28/-stdev!B28)^2)</f>
        <v>0.99653238148898104</v>
      </c>
      <c r="E28">
        <f>SQRT((quadrupoles!L28/-stdev!B28)-(dipoles!J28/-stdev!B28)^2)</f>
        <v>1.5072806815784505</v>
      </c>
      <c r="R28" t="s">
        <v>63</v>
      </c>
      <c r="S28">
        <v>1.1053465110122029</v>
      </c>
    </row>
    <row r="29" spans="1:19" x14ac:dyDescent="0.25">
      <c r="A29" t="s">
        <v>30</v>
      </c>
      <c r="B29">
        <v>14</v>
      </c>
      <c r="C29">
        <f>SQRT((quadrupoles!J29/-stdev!B29)-(dipoles!H29/-stdev!B29)^2)</f>
        <v>0.98966858613499997</v>
      </c>
      <c r="D29">
        <f>SQRT((quadrupoles!K29/-stdev!B29)-(dipoles!I29/-stdev!B29)^2)</f>
        <v>0.98966858613499997</v>
      </c>
      <c r="E29">
        <f>SQRT((quadrupoles!L29/-stdev!B29)-(dipoles!J29/-stdev!B29)^2)</f>
        <v>1.5101112597612627</v>
      </c>
      <c r="R29" t="s">
        <v>65</v>
      </c>
      <c r="S29">
        <v>1.1096506983258188</v>
      </c>
    </row>
    <row r="30" spans="1:19" x14ac:dyDescent="0.25">
      <c r="A30" t="s">
        <v>31</v>
      </c>
      <c r="B30">
        <v>14</v>
      </c>
      <c r="C30">
        <f>SQRT((quadrupoles!J30/-stdev!B30)-(dipoles!H30/-stdev!B30)^2)</f>
        <v>0.99075524941977977</v>
      </c>
      <c r="D30">
        <f>SQRT((quadrupoles!K30/-stdev!B30)-(dipoles!I30/-stdev!B30)^2)</f>
        <v>0.99075524941977977</v>
      </c>
      <c r="E30">
        <f>SQRT((quadrupoles!L30/-stdev!B30)-(dipoles!J30/-stdev!B30)^2)</f>
        <v>1.5078574168156442</v>
      </c>
      <c r="R30" t="s">
        <v>68</v>
      </c>
      <c r="S30">
        <v>1.1096506983258188</v>
      </c>
    </row>
    <row r="31" spans="1:19" x14ac:dyDescent="0.25">
      <c r="A31" t="s">
        <v>32</v>
      </c>
      <c r="B31">
        <v>14</v>
      </c>
      <c r="C31">
        <f>SQRT((quadrupoles!J31/-stdev!B31)-(dipoles!H31/-stdev!B31)^2)</f>
        <v>0.99933872728377238</v>
      </c>
      <c r="D31">
        <f>SQRT((quadrupoles!K31/-stdev!B31)-(dipoles!I31/-stdev!B31)^2)</f>
        <v>0.99933872728377238</v>
      </c>
      <c r="E31">
        <f>SQRT((quadrupoles!L31/-stdev!B31)-(dipoles!J31/-stdev!B31)^2)</f>
        <v>1.5080708485115668</v>
      </c>
      <c r="R31" t="s">
        <v>11</v>
      </c>
      <c r="S31">
        <v>1.2982036938279715</v>
      </c>
    </row>
    <row r="32" spans="1:19" x14ac:dyDescent="0.25">
      <c r="A32" t="s">
        <v>33</v>
      </c>
      <c r="B32">
        <v>10</v>
      </c>
      <c r="C32">
        <f>SQRT((quadrupoles!J32/-stdev!B32)-(dipoles!H32/-stdev!B32)^2)</f>
        <v>1.0083176123214672</v>
      </c>
      <c r="D32">
        <f>SQRT((quadrupoles!K32/-stdev!B32)-(dipoles!I32/-stdev!B32)^2)</f>
        <v>0.99016413591282293</v>
      </c>
      <c r="E32">
        <f>SQRT((quadrupoles!L32/-stdev!B32)-(dipoles!J32/-stdev!B32)^2)</f>
        <v>1.0152942666866889</v>
      </c>
      <c r="R32" t="s">
        <v>12</v>
      </c>
      <c r="S32">
        <v>1.2998241365863921</v>
      </c>
    </row>
    <row r="33" spans="1:19" x14ac:dyDescent="0.25">
      <c r="A33" t="s">
        <v>34</v>
      </c>
      <c r="B33">
        <v>10</v>
      </c>
      <c r="C33">
        <f>SQRT((quadrupoles!J33/-stdev!B33)-(dipoles!H33/-stdev!B33)^2)</f>
        <v>1.0193983581845716</v>
      </c>
      <c r="D33">
        <f>SQRT((quadrupoles!K33/-stdev!B33)-(dipoles!I33/-stdev!B33)^2)</f>
        <v>1.002314344323735</v>
      </c>
      <c r="E33">
        <f>SQRT((quadrupoles!L33/-stdev!B33)-(dipoles!J33/-stdev!B33)^2)</f>
        <v>1.0263753779265874</v>
      </c>
      <c r="R33" t="s">
        <v>9</v>
      </c>
      <c r="S33">
        <v>1.3006465275340067</v>
      </c>
    </row>
    <row r="34" spans="1:19" x14ac:dyDescent="0.25">
      <c r="A34" t="s">
        <v>35</v>
      </c>
      <c r="B34">
        <v>10</v>
      </c>
      <c r="C34">
        <f>SQRT((quadrupoles!J34/-stdev!B34)-(dipoles!H34/-stdev!B34)^2)</f>
        <v>1.028671418906776</v>
      </c>
      <c r="D34">
        <f>SQRT((quadrupoles!K34/-stdev!B34)-(dipoles!I34/-stdev!B34)^2)</f>
        <v>1.0117639404789385</v>
      </c>
      <c r="E34">
        <f>SQRT((quadrupoles!L34/-stdev!B34)-(dipoles!J34/-stdev!B34)^2)</f>
        <v>1.035576114569269</v>
      </c>
      <c r="R34" t="s">
        <v>8</v>
      </c>
      <c r="S34">
        <v>1.3015119116554674</v>
      </c>
    </row>
    <row r="35" spans="1:19" x14ac:dyDescent="0.25">
      <c r="A35" t="s">
        <v>36</v>
      </c>
      <c r="B35">
        <v>10</v>
      </c>
      <c r="C35">
        <f>SQRT((quadrupoles!J35/-stdev!B35)-(dipoles!H35/-stdev!B35)^2)</f>
        <v>1.014345579887959</v>
      </c>
      <c r="D35">
        <f>SQRT((quadrupoles!K35/-stdev!B35)-(dipoles!I35/-stdev!B35)^2)</f>
        <v>0.99651385068665199</v>
      </c>
      <c r="E35">
        <f>SQRT((quadrupoles!L35/-stdev!B35)-(dipoles!J35/-stdev!B35)^2)</f>
        <v>1.0215295964006164</v>
      </c>
      <c r="R35" t="s">
        <v>10</v>
      </c>
      <c r="S35">
        <v>1.3057914746490726</v>
      </c>
    </row>
    <row r="36" spans="1:19" x14ac:dyDescent="0.25">
      <c r="A36" t="s">
        <v>37</v>
      </c>
      <c r="B36">
        <v>10</v>
      </c>
      <c r="C36">
        <f>SQRT((quadrupoles!J36/-stdev!B36)-(dipoles!H36/-stdev!B36)^2)</f>
        <v>1.0186658064825824</v>
      </c>
      <c r="D36">
        <f>SQRT((quadrupoles!K36/-stdev!B36)-(dipoles!I36/-stdev!B36)^2)</f>
        <v>1.0011596211026685</v>
      </c>
      <c r="E36">
        <f>SQRT((quadrupoles!L36/-stdev!B36)-(dipoles!J36/-stdev!B36)^2)</f>
        <v>1.0261577307332475</v>
      </c>
      <c r="R36" t="s">
        <v>13</v>
      </c>
      <c r="S36">
        <v>1.3057914746490726</v>
      </c>
    </row>
    <row r="37" spans="1:19" x14ac:dyDescent="0.25">
      <c r="A37" t="s">
        <v>38</v>
      </c>
      <c r="B37">
        <v>10</v>
      </c>
      <c r="C37">
        <f>SQRT((quadrupoles!J37/-stdev!B37)-(dipoles!H37/-stdev!B37)^2)</f>
        <v>1.028671418906776</v>
      </c>
      <c r="D37">
        <f>SQRT((quadrupoles!K37/-stdev!B37)-(dipoles!I37/-stdev!B37)^2)</f>
        <v>1.0117639404789385</v>
      </c>
      <c r="E37">
        <f>SQRT((quadrupoles!L37/-stdev!B37)-(dipoles!J37/-stdev!B37)^2)</f>
        <v>1.035576114569269</v>
      </c>
      <c r="R37" t="s">
        <v>14</v>
      </c>
      <c r="S37">
        <v>1.3972208851020782</v>
      </c>
    </row>
    <row r="38" spans="1:19" x14ac:dyDescent="0.25">
      <c r="A38" t="s">
        <v>39</v>
      </c>
      <c r="B38">
        <v>15</v>
      </c>
      <c r="C38" t="e">
        <f>SQRT((quadrupoles!J38/-stdev!B38)-(dipoles!H38/-stdev!B38)^2)</f>
        <v>#VALUE!</v>
      </c>
      <c r="D38" t="e">
        <f>SQRT((quadrupoles!K38/-stdev!B38)-(dipoles!I38/-stdev!B38)^2)</f>
        <v>#VALUE!</v>
      </c>
      <c r="E38" t="e">
        <f>SQRT((quadrupoles!L38/-stdev!B38)-(dipoles!J38/-stdev!B38)^2)</f>
        <v>#VALUE!</v>
      </c>
      <c r="R38" t="s">
        <v>17</v>
      </c>
      <c r="S38">
        <v>1.4798493471234695</v>
      </c>
    </row>
    <row r="39" spans="1:19" x14ac:dyDescent="0.25">
      <c r="A39" t="s">
        <v>40</v>
      </c>
      <c r="B39">
        <v>15</v>
      </c>
      <c r="C39">
        <f>SQRT((quadrupoles!J39/-stdev!B39)-(dipoles!H39/-stdev!B39)^2)</f>
        <v>1.3019987767743921</v>
      </c>
      <c r="D39">
        <f>SQRT((quadrupoles!K39/-stdev!B39)-(dipoles!I39/-stdev!B39)^2)</f>
        <v>1.4598635199594661</v>
      </c>
      <c r="E39">
        <f>SQRT((quadrupoles!L39/-stdev!B39)-(dipoles!J39/-stdev!B39)^2)</f>
        <v>0.99323232986169285</v>
      </c>
      <c r="R39" t="s">
        <v>57</v>
      </c>
      <c r="S39">
        <v>1.4811289756168318</v>
      </c>
    </row>
    <row r="40" spans="1:19" x14ac:dyDescent="0.25">
      <c r="A40" t="s">
        <v>41</v>
      </c>
      <c r="B40">
        <v>15</v>
      </c>
      <c r="C40">
        <f>SQRT((quadrupoles!J40/-stdev!B40)-(dipoles!H40/-stdev!B40)^2)</f>
        <v>1.3077226247589464</v>
      </c>
      <c r="D40">
        <f>SQRT((quadrupoles!K40/-stdev!B40)-(dipoles!I40/-stdev!B40)^2)</f>
        <v>1.4632252301180291</v>
      </c>
      <c r="E40">
        <f>SQRT((quadrupoles!L40/-stdev!B40)-(dipoles!J40/-stdev!B40)^2)</f>
        <v>0.99698539677921072</v>
      </c>
      <c r="R40" t="s">
        <v>60</v>
      </c>
      <c r="S40">
        <v>1.4817007476472974</v>
      </c>
    </row>
    <row r="41" spans="1:19" x14ac:dyDescent="0.25">
      <c r="A41" t="s">
        <v>42</v>
      </c>
      <c r="B41">
        <v>15</v>
      </c>
      <c r="C41">
        <f>SQRT((quadrupoles!J41/-stdev!B41)-(dipoles!H41/-stdev!B41)^2)</f>
        <v>1.2998236531648122</v>
      </c>
      <c r="D41">
        <f>SQRT((quadrupoles!K41/-stdev!B41)-(dipoles!I41/-stdev!B41)^2)</f>
        <v>1.4571914384630502</v>
      </c>
      <c r="E41">
        <f>SQRT((quadrupoles!L41/-stdev!B41)-(dipoles!J41/-stdev!B41)^2)</f>
        <v>0.9904885451980755</v>
      </c>
      <c r="R41" t="s">
        <v>58</v>
      </c>
      <c r="S41">
        <v>1.4837612346294671</v>
      </c>
    </row>
    <row r="42" spans="1:19" x14ac:dyDescent="0.25">
      <c r="A42" t="s">
        <v>43</v>
      </c>
      <c r="B42">
        <v>15</v>
      </c>
      <c r="C42">
        <f>SQRT((quadrupoles!J42/-stdev!B42)-(dipoles!H42/-stdev!B42)^2)</f>
        <v>1.3024340897095503</v>
      </c>
      <c r="D42">
        <f>SQRT((quadrupoles!K42/-stdev!B42)-(dipoles!I42/-stdev!B42)^2)</f>
        <v>1.4584490053425823</v>
      </c>
      <c r="E42">
        <f>SQRT((quadrupoles!L42/-stdev!B42)-(dipoles!J42/-stdev!B42)^2)</f>
        <v>0.9909953834275852</v>
      </c>
      <c r="R42" t="s">
        <v>61</v>
      </c>
      <c r="S42">
        <v>1.4841561582791283</v>
      </c>
    </row>
    <row r="43" spans="1:19" x14ac:dyDescent="0.25">
      <c r="A43" t="s">
        <v>44</v>
      </c>
      <c r="B43">
        <v>15</v>
      </c>
      <c r="C43">
        <f>SQRT((quadrupoles!J43/-stdev!B43)-(dipoles!H43/-stdev!B43)^2)</f>
        <v>1.3077226247589464</v>
      </c>
      <c r="D43">
        <f>SQRT((quadrupoles!K43/-stdev!B43)-(dipoles!I43/-stdev!B43)^2)</f>
        <v>1.4632252301180291</v>
      </c>
      <c r="E43">
        <f>SQRT((quadrupoles!L43/-stdev!B43)-(dipoles!J43/-stdev!B43)^2)</f>
        <v>0.99698539677921072</v>
      </c>
      <c r="R43" t="s">
        <v>59</v>
      </c>
      <c r="S43">
        <v>1.4879608168096397</v>
      </c>
    </row>
    <row r="44" spans="1:19" x14ac:dyDescent="0.25">
      <c r="A44" t="s">
        <v>45</v>
      </c>
      <c r="B44">
        <v>10</v>
      </c>
      <c r="C44">
        <f>SQRT((quadrupoles!J44/-stdev!B44)-(dipoles!H44/-stdev!B44)^2)</f>
        <v>0.87530544960033574</v>
      </c>
      <c r="D44">
        <f>SQRT((quadrupoles!K44/-stdev!B44)-(dipoles!I44/-stdev!B44)^2)</f>
        <v>0.87530544960033574</v>
      </c>
      <c r="E44">
        <f>SQRT((quadrupoles!L44/-stdev!B44)-(dipoles!J44/-stdev!B44)^2)</f>
        <v>0.81785933881478079</v>
      </c>
      <c r="R44" t="s">
        <v>62</v>
      </c>
      <c r="S44">
        <v>1.4879608168096397</v>
      </c>
    </row>
    <row r="45" spans="1:19" x14ac:dyDescent="0.25">
      <c r="A45" t="s">
        <v>46</v>
      </c>
      <c r="B45">
        <v>10</v>
      </c>
      <c r="C45">
        <f>SQRT((quadrupoles!J45/-stdev!B45)-(dipoles!H45/-stdev!B45)^2)</f>
        <v>0.8870805758489192</v>
      </c>
      <c r="D45">
        <f>SQRT((quadrupoles!K45/-stdev!B45)-(dipoles!I45/-stdev!B45)^2)</f>
        <v>0.8870805758489192</v>
      </c>
      <c r="E45">
        <f>SQRT((quadrupoles!L45/-stdev!B45)-(dipoles!J45/-stdev!B45)^2)</f>
        <v>0.86484405613142512</v>
      </c>
      <c r="R45" t="s">
        <v>15</v>
      </c>
      <c r="S45">
        <v>1.4881591913529397</v>
      </c>
    </row>
    <row r="46" spans="1:19" x14ac:dyDescent="0.25">
      <c r="A46" t="s">
        <v>47</v>
      </c>
      <c r="B46">
        <v>10</v>
      </c>
      <c r="C46">
        <f>SQRT((quadrupoles!J46/-stdev!B46)-(dipoles!H46/-stdev!B46)^2)</f>
        <v>0.89535856917627143</v>
      </c>
      <c r="D46">
        <f>SQRT((quadrupoles!K46/-stdev!B46)-(dipoles!I46/-stdev!B46)^2)</f>
        <v>0.89535856917627143</v>
      </c>
      <c r="E46">
        <f>SQRT((quadrupoles!L46/-stdev!B46)-(dipoles!J46/-stdev!B46)^2)</f>
        <v>0.87529819831628797</v>
      </c>
      <c r="R46" t="s">
        <v>18</v>
      </c>
      <c r="S46">
        <v>1.4884671973099024</v>
      </c>
    </row>
    <row r="47" spans="1:19" x14ac:dyDescent="0.25">
      <c r="A47" t="s">
        <v>48</v>
      </c>
      <c r="B47">
        <v>10</v>
      </c>
      <c r="C47">
        <f>SQRT((quadrupoles!J47/-stdev!B47)-(dipoles!H47/-stdev!B47)^2)</f>
        <v>0.88211613645249676</v>
      </c>
      <c r="D47">
        <f>SQRT((quadrupoles!K47/-stdev!B47)-(dipoles!I47/-stdev!B47)^2)</f>
        <v>0.88211613645249676</v>
      </c>
      <c r="E47">
        <f>SQRT((quadrupoles!L47/-stdev!B47)-(dipoles!J47/-stdev!B47)^2)</f>
        <v>0.85837318662627127</v>
      </c>
      <c r="R47" t="s">
        <v>16</v>
      </c>
      <c r="S47">
        <v>1.5011067156601614</v>
      </c>
    </row>
    <row r="48" spans="1:19" x14ac:dyDescent="0.25">
      <c r="A48" t="s">
        <v>49</v>
      </c>
      <c r="B48">
        <v>10</v>
      </c>
      <c r="C48">
        <f>SQRT((quadrupoles!J48/-stdev!B48)-(dipoles!H48/-stdev!B48)^2)</f>
        <v>0.88617794938846228</v>
      </c>
      <c r="D48">
        <f>SQRT((quadrupoles!K48/-stdev!B48)-(dipoles!I48/-stdev!B48)^2)</f>
        <v>0.88617794938846228</v>
      </c>
      <c r="E48">
        <f>SQRT((quadrupoles!L48/-stdev!B48)-(dipoles!J48/-stdev!B48)^2)</f>
        <v>0.86415389319549474</v>
      </c>
      <c r="R48" t="s">
        <v>19</v>
      </c>
      <c r="S48">
        <v>1.5011067156601614</v>
      </c>
    </row>
    <row r="49" spans="1:19" x14ac:dyDescent="0.25">
      <c r="A49" t="s">
        <v>50</v>
      </c>
      <c r="B49">
        <v>10</v>
      </c>
      <c r="C49">
        <f>SQRT((quadrupoles!J49/-stdev!B49)-(dipoles!H49/-stdev!B49)^2)</f>
        <v>0.89535856917627143</v>
      </c>
      <c r="D49">
        <f>SQRT((quadrupoles!K49/-stdev!B49)-(dipoles!I49/-stdev!B49)^2)</f>
        <v>0.89535856917627143</v>
      </c>
      <c r="E49">
        <f>SQRT((quadrupoles!L49/-stdev!B49)-(dipoles!J49/-stdev!B49)^2)</f>
        <v>0.87529819831628797</v>
      </c>
      <c r="R49" t="s">
        <v>29</v>
      </c>
      <c r="S49">
        <v>1.5072806815784505</v>
      </c>
    </row>
    <row r="50" spans="1:19" x14ac:dyDescent="0.25">
      <c r="A50" t="s">
        <v>51</v>
      </c>
      <c r="B50">
        <v>17</v>
      </c>
      <c r="C50">
        <f>SQRT((quadrupoles!J50/-stdev!B50)-(dipoles!H50/-stdev!B50)^2)</f>
        <v>0.97204273057952273</v>
      </c>
      <c r="D50">
        <f>SQRT((quadrupoles!K50/-stdev!B50)-(dipoles!I50/-stdev!B50)^2)</f>
        <v>1.5873285569553199</v>
      </c>
      <c r="E50">
        <f>SQRT((quadrupoles!L50/-stdev!B50)-(dipoles!J50/-stdev!B50)^2)</f>
        <v>0.929946962630952</v>
      </c>
      <c r="R50" t="s">
        <v>31</v>
      </c>
      <c r="S50">
        <v>1.5078574168156442</v>
      </c>
    </row>
    <row r="51" spans="1:19" x14ac:dyDescent="0.25">
      <c r="A51" t="s">
        <v>52</v>
      </c>
      <c r="B51">
        <v>17</v>
      </c>
      <c r="C51">
        <f>SQRT((quadrupoles!J51/-stdev!B51)-(dipoles!H51/-stdev!B51)^2)</f>
        <v>0.98201470748935937</v>
      </c>
      <c r="D51">
        <f>SQRT((quadrupoles!K51/-stdev!B51)-(dipoles!I51/-stdev!B51)^2)</f>
        <v>1.588817048951757</v>
      </c>
      <c r="E51">
        <f>SQRT((quadrupoles!L51/-stdev!B51)-(dipoles!J51/-stdev!B51)^2)</f>
        <v>0.93650470998046154</v>
      </c>
      <c r="R51" t="s">
        <v>32</v>
      </c>
      <c r="S51">
        <v>1.5080708485115668</v>
      </c>
    </row>
    <row r="52" spans="1:19" x14ac:dyDescent="0.25">
      <c r="A52" t="s">
        <v>53</v>
      </c>
      <c r="B52">
        <v>17</v>
      </c>
      <c r="C52">
        <f>SQRT((quadrupoles!J52/-stdev!B52)-(dipoles!H52/-stdev!B52)^2)</f>
        <v>0.99055014862413893</v>
      </c>
      <c r="D52">
        <f>SQRT((quadrupoles!K52/-stdev!B52)-(dipoles!I52/-stdev!B52)^2)</f>
        <v>1.5929107023625952</v>
      </c>
      <c r="E52">
        <f>SQRT((quadrupoles!L52/-stdev!B52)-(dipoles!J52/-stdev!B52)^2)</f>
        <v>0.94113565381805364</v>
      </c>
      <c r="R52" t="s">
        <v>27</v>
      </c>
      <c r="S52">
        <v>1.5090006759669121</v>
      </c>
    </row>
    <row r="53" spans="1:19" x14ac:dyDescent="0.25">
      <c r="A53" t="s">
        <v>54</v>
      </c>
      <c r="B53">
        <v>17</v>
      </c>
      <c r="C53">
        <f>SQRT((quadrupoles!J53/-stdev!B53)-(dipoles!H53/-stdev!B53)^2)</f>
        <v>0.97763143678601305</v>
      </c>
      <c r="D53">
        <f>SQRT((quadrupoles!K53/-stdev!B53)-(dipoles!I53/-stdev!B53)^2)</f>
        <v>1.5861053557734011</v>
      </c>
      <c r="E53">
        <f>SQRT((quadrupoles!L53/-stdev!B53)-(dipoles!J53/-stdev!B53)^2)</f>
        <v>0.93295811643593851</v>
      </c>
      <c r="R53" t="s">
        <v>30</v>
      </c>
      <c r="S53">
        <v>1.5101112597612627</v>
      </c>
    </row>
    <row r="54" spans="1:19" x14ac:dyDescent="0.25">
      <c r="A54" t="s">
        <v>55</v>
      </c>
      <c r="B54">
        <v>17</v>
      </c>
      <c r="C54">
        <f>SQRT((quadrupoles!J54/-stdev!B54)-(dipoles!H54/-stdev!B54)^2)</f>
        <v>0.9821759206345132</v>
      </c>
      <c r="D54">
        <f>SQRT((quadrupoles!K54/-stdev!B54)-(dipoles!I54/-stdev!B54)^2)</f>
        <v>1.587572072730737</v>
      </c>
      <c r="E54">
        <f>SQRT((quadrupoles!L54/-stdev!B54)-(dipoles!J54/-stdev!B54)^2)</f>
        <v>0.93452992740051799</v>
      </c>
      <c r="R54" t="s">
        <v>26</v>
      </c>
      <c r="S54">
        <v>1.5255081688068635</v>
      </c>
    </row>
    <row r="55" spans="1:19" x14ac:dyDescent="0.25">
      <c r="A55" t="s">
        <v>56</v>
      </c>
      <c r="B55">
        <v>17</v>
      </c>
      <c r="C55">
        <f>SQRT((quadrupoles!J55/-stdev!B55)-(dipoles!H55/-stdev!B55)^2)</f>
        <v>0.99055014862413893</v>
      </c>
      <c r="D55">
        <f>SQRT((quadrupoles!K55/-stdev!B55)-(dipoles!I55/-stdev!B55)^2)</f>
        <v>1.5929107023625952</v>
      </c>
      <c r="E55">
        <f>SQRT((quadrupoles!L55/-stdev!B55)-(dipoles!J55/-stdev!B55)^2)</f>
        <v>0.94113565381805364</v>
      </c>
      <c r="R55" t="s">
        <v>5</v>
      </c>
      <c r="S55">
        <v>1.6677626619101189</v>
      </c>
    </row>
    <row r="56" spans="1:19" x14ac:dyDescent="0.25">
      <c r="A56" t="s">
        <v>57</v>
      </c>
      <c r="B56">
        <v>14</v>
      </c>
      <c r="C56">
        <f>SQRT((quadrupoles!J56/-stdev!B56)-(dipoles!H56/-stdev!B56)^2)</f>
        <v>0.99960521347693709</v>
      </c>
      <c r="D56">
        <f>SQRT((quadrupoles!K56/-stdev!B56)-(dipoles!I56/-stdev!B56)^2)</f>
        <v>0.99960521347693709</v>
      </c>
      <c r="E56">
        <f>SQRT((quadrupoles!L56/-stdev!B56)-(dipoles!J56/-stdev!B56)^2)</f>
        <v>1.4811289756168318</v>
      </c>
      <c r="R56" t="s">
        <v>6</v>
      </c>
      <c r="S56">
        <v>1.670651759731236</v>
      </c>
    </row>
    <row r="57" spans="1:19" x14ac:dyDescent="0.25">
      <c r="A57" t="s">
        <v>58</v>
      </c>
      <c r="B57">
        <v>14</v>
      </c>
      <c r="C57">
        <f>SQRT((quadrupoles!J57/-stdev!B57)-(dipoles!H57/-stdev!B57)^2)</f>
        <v>0.99400327890842499</v>
      </c>
      <c r="D57">
        <f>SQRT((quadrupoles!K57/-stdev!B57)-(dipoles!I57/-stdev!B57)^2)</f>
        <v>0.99400327890842499</v>
      </c>
      <c r="E57">
        <f>SQRT((quadrupoles!L57/-stdev!B57)-(dipoles!J57/-stdev!B57)^2)</f>
        <v>1.4837612346294671</v>
      </c>
      <c r="R57" t="s">
        <v>3</v>
      </c>
      <c r="S57">
        <v>1.6716708328908005</v>
      </c>
    </row>
    <row r="58" spans="1:19" x14ac:dyDescent="0.25">
      <c r="A58" t="s">
        <v>59</v>
      </c>
      <c r="B58">
        <v>14</v>
      </c>
      <c r="C58">
        <f>SQRT((quadrupoles!J58/-stdev!B58)-(dipoles!H58/-stdev!B58)^2)</f>
        <v>0.99572222379200714</v>
      </c>
      <c r="D58">
        <f>SQRT((quadrupoles!K58/-stdev!B58)-(dipoles!I58/-stdev!B58)^2)</f>
        <v>0.99572222379200714</v>
      </c>
      <c r="E58">
        <f>SQRT((quadrupoles!L58/-stdev!B58)-(dipoles!J58/-stdev!B58)^2)</f>
        <v>1.4879608168096397</v>
      </c>
      <c r="R58" t="s">
        <v>4</v>
      </c>
      <c r="S58">
        <v>1.678921113656453</v>
      </c>
    </row>
    <row r="59" spans="1:19" x14ac:dyDescent="0.25">
      <c r="A59" t="s">
        <v>60</v>
      </c>
      <c r="B59">
        <v>14</v>
      </c>
      <c r="C59">
        <f>SQRT((quadrupoles!J59/-stdev!B59)-(dipoles!H59/-stdev!B59)^2)</f>
        <v>0.9922426270531316</v>
      </c>
      <c r="D59">
        <f>SQRT((quadrupoles!K59/-stdev!B59)-(dipoles!I59/-stdev!B59)^2)</f>
        <v>0.9922426270531316</v>
      </c>
      <c r="E59">
        <f>SQRT((quadrupoles!L59/-stdev!B59)-(dipoles!J59/-stdev!B59)^2)</f>
        <v>1.4817007476472974</v>
      </c>
      <c r="R59" t="s">
        <v>7</v>
      </c>
      <c r="S59">
        <v>1.678921113656453</v>
      </c>
    </row>
    <row r="60" spans="1:19" x14ac:dyDescent="0.25">
      <c r="A60" t="s">
        <v>61</v>
      </c>
      <c r="B60">
        <v>14</v>
      </c>
      <c r="C60">
        <f>SQRT((quadrupoles!J60/-stdev!B60)-(dipoles!H60/-stdev!B60)^2)</f>
        <v>0.99118667332193289</v>
      </c>
      <c r="D60">
        <f>SQRT((quadrupoles!K60/-stdev!B60)-(dipoles!I60/-stdev!B60)^2)</f>
        <v>0.99118667332193289</v>
      </c>
      <c r="E60">
        <f>SQRT((quadrupoles!L60/-stdev!B60)-(dipoles!J60/-stdev!B60)^2)</f>
        <v>1.4841561582791283</v>
      </c>
      <c r="R60" t="s">
        <v>2</v>
      </c>
      <c r="S60">
        <v>1.6981447914296268</v>
      </c>
    </row>
    <row r="61" spans="1:19" x14ac:dyDescent="0.25">
      <c r="A61" t="s">
        <v>62</v>
      </c>
      <c r="B61">
        <v>14</v>
      </c>
      <c r="C61">
        <f>SQRT((quadrupoles!J61/-stdev!B61)-(dipoles!H61/-stdev!B61)^2)</f>
        <v>0.99572222379200714</v>
      </c>
      <c r="D61">
        <f>SQRT((quadrupoles!K61/-stdev!B61)-(dipoles!I61/-stdev!B61)^2)</f>
        <v>0.99572222379200714</v>
      </c>
      <c r="E61">
        <f>SQRT((quadrupoles!L61/-stdev!B61)-(dipoles!J61/-stdev!B61)^2)</f>
        <v>1.4879608168096397</v>
      </c>
      <c r="R61" t="s">
        <v>25</v>
      </c>
      <c r="S61">
        <v>2.1615755565976569</v>
      </c>
    </row>
    <row r="62" spans="1:19" x14ac:dyDescent="0.25">
      <c r="A62" t="s">
        <v>63</v>
      </c>
      <c r="B62">
        <v>9</v>
      </c>
      <c r="C62">
        <f>SQRT((quadrupoles!J62/-stdev!B62)-(dipoles!H62/-stdev!B62)^2)</f>
        <v>1.0026723569246729</v>
      </c>
      <c r="D62">
        <f>SQRT((quadrupoles!K62/-stdev!B62)-(dipoles!I62/-stdev!B62)^2)</f>
        <v>0.89962047367762865</v>
      </c>
      <c r="E62">
        <f>SQRT((quadrupoles!L62/-stdev!B62)-(dipoles!J62/-stdev!B62)^2)</f>
        <v>1.1053465110122029</v>
      </c>
      <c r="R62" t="s">
        <v>22</v>
      </c>
      <c r="S62">
        <v>2.1615757274662761</v>
      </c>
    </row>
    <row r="63" spans="1:19" x14ac:dyDescent="0.25">
      <c r="A63" t="s">
        <v>64</v>
      </c>
      <c r="B63">
        <v>9</v>
      </c>
      <c r="C63">
        <f>SQRT((quadrupoles!J63/-stdev!B63)-(dipoles!H63/-stdev!B63)^2)</f>
        <v>0.91038167930778113</v>
      </c>
      <c r="D63">
        <f>SQRT((quadrupoles!K63/-stdev!B63)-(dipoles!I63/-stdev!B63)^2)</f>
        <v>1.013738379657285</v>
      </c>
      <c r="E63">
        <f>SQRT((quadrupoles!L63/-stdev!B63)-(dipoles!J63/-stdev!B63)^2)</f>
        <v>1.1036553460198975</v>
      </c>
      <c r="R63" t="s">
        <v>24</v>
      </c>
      <c r="S63">
        <v>2.1618567295283024</v>
      </c>
    </row>
    <row r="64" spans="1:19" x14ac:dyDescent="0.25">
      <c r="A64" t="s">
        <v>65</v>
      </c>
      <c r="B64">
        <v>9</v>
      </c>
      <c r="C64">
        <f>SQRT((quadrupoles!J64/-stdev!B64)-(dipoles!H64/-stdev!B64)^2)</f>
        <v>0.9181217485610742</v>
      </c>
      <c r="D64">
        <f>SQRT((quadrupoles!K64/-stdev!B64)-(dipoles!I64/-stdev!B64)^2)</f>
        <v>1.023086116226684</v>
      </c>
      <c r="E64">
        <f>SQRT((quadrupoles!L64/-stdev!B64)-(dipoles!J64/-stdev!B64)^2)</f>
        <v>1.1096506983258188</v>
      </c>
      <c r="R64" t="s">
        <v>21</v>
      </c>
      <c r="S64">
        <v>2.1631464435315007</v>
      </c>
    </row>
    <row r="65" spans="1:19" x14ac:dyDescent="0.25">
      <c r="A65" t="s">
        <v>66</v>
      </c>
      <c r="B65">
        <v>9</v>
      </c>
      <c r="C65">
        <f>SQRT((quadrupoles!J65/-stdev!B65)-(dipoles!H65/-stdev!B65)^2)</f>
        <v>0.90476650898004862</v>
      </c>
      <c r="D65">
        <f>SQRT((quadrupoles!K65/-stdev!B65)-(dipoles!I65/-stdev!B65)^2)</f>
        <v>1.0083430888604996</v>
      </c>
      <c r="E65">
        <f>SQRT((quadrupoles!L65/-stdev!B65)-(dipoles!J65/-stdev!B65)^2)</f>
        <v>1.1001792376888555</v>
      </c>
      <c r="R65" t="s">
        <v>23</v>
      </c>
      <c r="S65">
        <v>2.163681245290435</v>
      </c>
    </row>
    <row r="66" spans="1:19" x14ac:dyDescent="0.25">
      <c r="A66" t="s">
        <v>67</v>
      </c>
      <c r="B66">
        <v>9</v>
      </c>
      <c r="C66">
        <f>SQRT((quadrupoles!J66/-stdev!B66)-(dipoles!H66/-stdev!B66)^2)</f>
        <v>0.90784186568422931</v>
      </c>
      <c r="D66">
        <f>SQRT((quadrupoles!K66/-stdev!B66)-(dipoles!I66/-stdev!B66)^2)</f>
        <v>1.0128018120219935</v>
      </c>
      <c r="E66">
        <f>SQRT((quadrupoles!L66/-stdev!B66)-(dipoles!J66/-stdev!B66)^2)</f>
        <v>1.1028063165816999</v>
      </c>
      <c r="R66" t="s">
        <v>20</v>
      </c>
      <c r="S66">
        <v>2.1741662885199315</v>
      </c>
    </row>
    <row r="67" spans="1:19" x14ac:dyDescent="0.25">
      <c r="A67" t="s">
        <v>68</v>
      </c>
      <c r="B67">
        <v>9</v>
      </c>
      <c r="C67">
        <f>SQRT((quadrupoles!J67/-stdev!B67)-(dipoles!H67/-stdev!B67)^2)</f>
        <v>0.9181217485610742</v>
      </c>
      <c r="D67">
        <f>SQRT((quadrupoles!K67/-stdev!B67)-(dipoles!I67/-stdev!B67)^2)</f>
        <v>1.023086116226684</v>
      </c>
      <c r="E67">
        <f>SQRT((quadrupoles!L67/-stdev!B67)-(dipoles!J67/-stdev!B67)^2)</f>
        <v>1.1096506983258188</v>
      </c>
      <c r="R67" t="s">
        <v>39</v>
      </c>
      <c r="S67" t="e">
        <v>#VALUE!</v>
      </c>
    </row>
  </sheetData>
  <sortState xmlns:xlrd2="http://schemas.microsoft.com/office/spreadsheetml/2017/richdata2" ref="R2:S67">
    <sortCondition ref="S2:S6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441E-5CB8-DB41-88F6-0269A43F5B6D}">
  <dimension ref="A1:H67"/>
  <sheetViews>
    <sheetView workbookViewId="0">
      <selection activeCell="C27" sqref="C27"/>
    </sheetView>
  </sheetViews>
  <sheetFormatPr defaultColWidth="11.42578125" defaultRowHeight="15" x14ac:dyDescent="0.25"/>
  <cols>
    <col min="1" max="1" width="10.28515625" bestFit="1" customWidth="1"/>
    <col min="2" max="8" width="12.7109375" bestFit="1" customWidth="1"/>
  </cols>
  <sheetData>
    <row r="1" spans="1:8" x14ac:dyDescent="0.25"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</row>
    <row r="2" spans="1:8" x14ac:dyDescent="0.25">
      <c r="A2" t="s">
        <v>2</v>
      </c>
      <c r="B2">
        <v>-76.178380872800005</v>
      </c>
      <c r="C2">
        <v>-76.179345365000003</v>
      </c>
      <c r="D2">
        <v>-76.177417183299994</v>
      </c>
      <c r="E2">
        <v>-76.179345365000003</v>
      </c>
      <c r="F2">
        <v>-76.177417183299994</v>
      </c>
      <c r="G2">
        <v>-76.179049098099995</v>
      </c>
      <c r="H2">
        <v>-76.177715170200003</v>
      </c>
    </row>
    <row r="3" spans="1:8" x14ac:dyDescent="0.25">
      <c r="A3" t="s">
        <v>3</v>
      </c>
      <c r="B3">
        <v>-76.535955655099997</v>
      </c>
      <c r="C3">
        <v>-76.536914195099996</v>
      </c>
      <c r="D3">
        <v>-76.534997956400005</v>
      </c>
      <c r="E3">
        <v>-76.536914195099996</v>
      </c>
      <c r="F3">
        <v>-76.534997956400005</v>
      </c>
      <c r="G3">
        <v>-76.536620036800002</v>
      </c>
      <c r="H3">
        <v>-76.535293979100004</v>
      </c>
    </row>
    <row r="4" spans="1:8" x14ac:dyDescent="0.25">
      <c r="A4" t="s">
        <v>4</v>
      </c>
      <c r="B4">
        <v>-76.533694987299995</v>
      </c>
      <c r="C4">
        <v>-76.534654594599999</v>
      </c>
      <c r="D4">
        <v>-76.532736282200005</v>
      </c>
      <c r="E4">
        <v>-76.534654594599999</v>
      </c>
      <c r="F4">
        <v>-76.532736282200005</v>
      </c>
      <c r="G4">
        <v>-76.534377307699998</v>
      </c>
      <c r="H4">
        <v>-76.533015516399999</v>
      </c>
    </row>
    <row r="5" spans="1:8" x14ac:dyDescent="0.25">
      <c r="A5" t="s">
        <v>5</v>
      </c>
      <c r="B5">
        <v>-76.585897780699995</v>
      </c>
      <c r="C5">
        <v>-76.586854774399995</v>
      </c>
      <c r="D5">
        <v>-76.584941598100002</v>
      </c>
      <c r="E5">
        <v>-76.586854774399995</v>
      </c>
      <c r="F5">
        <v>-76.584941598100002</v>
      </c>
      <c r="G5">
        <v>-76.5865523274</v>
      </c>
      <c r="H5">
        <v>-76.585245855899998</v>
      </c>
    </row>
    <row r="6" spans="1:8" x14ac:dyDescent="0.25">
      <c r="A6" t="s">
        <v>6</v>
      </c>
      <c r="B6">
        <v>-76.599781982099998</v>
      </c>
      <c r="C6">
        <v>-76.600736279900005</v>
      </c>
      <c r="D6">
        <v>-76.598828516699996</v>
      </c>
      <c r="E6">
        <v>-76.600736279900005</v>
      </c>
      <c r="F6">
        <v>-76.598828516699996</v>
      </c>
      <c r="G6">
        <v>-76.600443700599996</v>
      </c>
      <c r="H6">
        <v>-76.599122954600006</v>
      </c>
    </row>
    <row r="7" spans="1:8" x14ac:dyDescent="0.25">
      <c r="A7" t="s">
        <v>7</v>
      </c>
      <c r="B7">
        <v>-76.533694987299995</v>
      </c>
      <c r="C7">
        <v>-76.534654594599999</v>
      </c>
      <c r="D7">
        <v>-76.532736282200005</v>
      </c>
      <c r="E7">
        <v>-76.534654594599999</v>
      </c>
      <c r="F7">
        <v>-76.532736282200005</v>
      </c>
      <c r="G7">
        <v>-76.534377307699998</v>
      </c>
      <c r="H7">
        <v>-76.533015516399999</v>
      </c>
    </row>
    <row r="8" spans="1:8" x14ac:dyDescent="0.25">
      <c r="A8" t="s">
        <v>8</v>
      </c>
      <c r="B8">
        <v>-40.213794365600002</v>
      </c>
      <c r="C8">
        <v>-40.214420083100002</v>
      </c>
      <c r="D8">
        <v>-40.213169416699998</v>
      </c>
      <c r="E8">
        <v>-40.214420083100002</v>
      </c>
      <c r="F8">
        <v>-40.213169416699998</v>
      </c>
      <c r="G8">
        <v>-40.214420083100002</v>
      </c>
      <c r="H8">
        <v>-40.213169416699998</v>
      </c>
    </row>
    <row r="9" spans="1:8" x14ac:dyDescent="0.25">
      <c r="A9" t="s">
        <v>9</v>
      </c>
      <c r="B9">
        <v>-40.475420402399997</v>
      </c>
      <c r="C9">
        <v>-40.476044916799999</v>
      </c>
      <c r="D9">
        <v>-40.474796733600002</v>
      </c>
      <c r="E9">
        <v>-40.476044916799999</v>
      </c>
      <c r="F9">
        <v>-40.474796733600002</v>
      </c>
      <c r="G9">
        <v>-40.476044916799999</v>
      </c>
      <c r="H9">
        <v>-40.474796733600002</v>
      </c>
    </row>
    <row r="10" spans="1:8" x14ac:dyDescent="0.25">
      <c r="A10" t="s">
        <v>10</v>
      </c>
      <c r="B10">
        <v>-40.464719248500003</v>
      </c>
      <c r="C10">
        <v>-40.465351202000001</v>
      </c>
      <c r="D10">
        <v>-40.464088204399999</v>
      </c>
      <c r="E10">
        <v>-40.465351202000001</v>
      </c>
      <c r="F10">
        <v>-40.464088204399999</v>
      </c>
      <c r="G10">
        <v>-40.465351202000001</v>
      </c>
      <c r="H10">
        <v>-40.464088204399999</v>
      </c>
    </row>
    <row r="11" spans="1:8" x14ac:dyDescent="0.25">
      <c r="A11" t="s">
        <v>11</v>
      </c>
      <c r="B11">
        <v>-40.5024948792</v>
      </c>
      <c r="C11">
        <v>-40.503115864599998</v>
      </c>
      <c r="D11">
        <v>-40.501874709500001</v>
      </c>
      <c r="E11">
        <v>-40.503115864599998</v>
      </c>
      <c r="F11">
        <v>-40.501874709500001</v>
      </c>
      <c r="G11">
        <v>-40.503115864599998</v>
      </c>
      <c r="H11">
        <v>-40.501874709500001</v>
      </c>
    </row>
    <row r="12" spans="1:8" x14ac:dyDescent="0.25">
      <c r="A12" t="s">
        <v>12</v>
      </c>
      <c r="B12">
        <v>-40.506761081299999</v>
      </c>
      <c r="C12">
        <v>-40.5073844132</v>
      </c>
      <c r="D12">
        <v>-40.506138595000003</v>
      </c>
      <c r="E12">
        <v>-40.5073844132</v>
      </c>
      <c r="F12">
        <v>-40.506138595000003</v>
      </c>
      <c r="G12">
        <v>-40.5073844132</v>
      </c>
      <c r="H12">
        <v>-40.506138595000003</v>
      </c>
    </row>
    <row r="13" spans="1:8" x14ac:dyDescent="0.25">
      <c r="A13" t="s">
        <v>13</v>
      </c>
      <c r="B13">
        <v>-40.464719248500003</v>
      </c>
      <c r="C13">
        <v>-40.465351202000001</v>
      </c>
      <c r="D13">
        <v>-40.464088204399999</v>
      </c>
      <c r="E13">
        <v>-40.465351202000001</v>
      </c>
      <c r="F13">
        <v>-40.464088204399999</v>
      </c>
      <c r="G13">
        <v>-40.465351202000001</v>
      </c>
      <c r="H13">
        <v>-40.464088204399999</v>
      </c>
    </row>
    <row r="14" spans="1:8" x14ac:dyDescent="0.25">
      <c r="A14" t="s">
        <v>14</v>
      </c>
      <c r="B14">
        <v>-92.2363640369</v>
      </c>
      <c r="C14">
        <v>-92.237185303999993</v>
      </c>
      <c r="D14">
        <v>-92.235543244200002</v>
      </c>
      <c r="E14">
        <v>-92.237185303999993</v>
      </c>
      <c r="F14">
        <v>-92.235543244200002</v>
      </c>
      <c r="G14">
        <v>-92.236963365700007</v>
      </c>
      <c r="H14">
        <v>-92.235766602599995</v>
      </c>
    </row>
    <row r="15" spans="1:8" x14ac:dyDescent="0.25">
      <c r="A15" t="s">
        <v>15</v>
      </c>
      <c r="B15">
        <v>-92.632986065300003</v>
      </c>
      <c r="C15">
        <v>-92.633806541799999</v>
      </c>
      <c r="D15">
        <v>-92.6321660877</v>
      </c>
      <c r="E15">
        <v>-92.633806541799999</v>
      </c>
      <c r="F15">
        <v>-92.6321660877</v>
      </c>
      <c r="G15">
        <v>-92.633638631300002</v>
      </c>
      <c r="H15">
        <v>-92.632335948999994</v>
      </c>
    </row>
    <row r="16" spans="1:8" x14ac:dyDescent="0.25">
      <c r="A16" t="s">
        <v>16</v>
      </c>
      <c r="B16">
        <v>-92.643230188999993</v>
      </c>
      <c r="C16">
        <v>-92.644052323599993</v>
      </c>
      <c r="D16">
        <v>-92.642408587299997</v>
      </c>
      <c r="E16">
        <v>-92.644052323599993</v>
      </c>
      <c r="F16">
        <v>-92.642408587299997</v>
      </c>
      <c r="G16">
        <v>-92.643924664400004</v>
      </c>
      <c r="H16">
        <v>-92.642538330700006</v>
      </c>
    </row>
    <row r="17" spans="1:8" x14ac:dyDescent="0.25">
      <c r="A17" t="s">
        <v>17</v>
      </c>
      <c r="B17">
        <v>-92.684065503400006</v>
      </c>
      <c r="C17">
        <v>-92.684883396999993</v>
      </c>
      <c r="D17">
        <v>-92.683248089900005</v>
      </c>
      <c r="E17">
        <v>-92.684883396999993</v>
      </c>
      <c r="F17">
        <v>-92.683248089900005</v>
      </c>
      <c r="G17">
        <v>-92.684690849700004</v>
      </c>
      <c r="H17">
        <v>-92.683442420800006</v>
      </c>
    </row>
    <row r="18" spans="1:8" x14ac:dyDescent="0.25">
      <c r="A18" t="s">
        <v>18</v>
      </c>
      <c r="B18">
        <v>-92.708363816000002</v>
      </c>
      <c r="C18">
        <v>-92.709179664299995</v>
      </c>
      <c r="D18">
        <v>-92.707548458100007</v>
      </c>
      <c r="E18">
        <v>-92.709179664299995</v>
      </c>
      <c r="F18">
        <v>-92.707548458100007</v>
      </c>
      <c r="G18">
        <v>-92.709018732499999</v>
      </c>
      <c r="H18">
        <v>-92.707711331699997</v>
      </c>
    </row>
    <row r="19" spans="1:8" x14ac:dyDescent="0.25">
      <c r="A19" t="s">
        <v>19</v>
      </c>
      <c r="B19">
        <v>-92.643230188999993</v>
      </c>
      <c r="C19">
        <v>-92.644052323599993</v>
      </c>
      <c r="D19">
        <v>-92.642408587299997</v>
      </c>
      <c r="E19">
        <v>-92.644052323599993</v>
      </c>
      <c r="F19">
        <v>-92.642408587299997</v>
      </c>
      <c r="G19">
        <v>-92.643924664400004</v>
      </c>
      <c r="H19">
        <v>-92.642538330700006</v>
      </c>
    </row>
    <row r="20" spans="1:8" x14ac:dyDescent="0.25">
      <c r="A20" t="s">
        <v>20</v>
      </c>
      <c r="B20">
        <v>-187.7100083887</v>
      </c>
      <c r="C20">
        <v>-187.71111002839999</v>
      </c>
      <c r="D20">
        <v>-187.7089071099</v>
      </c>
      <c r="E20">
        <v>-187.71111002839999</v>
      </c>
      <c r="F20">
        <v>-187.7089071099</v>
      </c>
      <c r="G20">
        <v>-187.71149256429999</v>
      </c>
      <c r="H20">
        <v>-187.7085263111</v>
      </c>
    </row>
    <row r="21" spans="1:8" x14ac:dyDescent="0.25">
      <c r="A21" t="s">
        <v>21</v>
      </c>
      <c r="B21">
        <v>-188.46276846870001</v>
      </c>
      <c r="C21">
        <v>-188.4638697668</v>
      </c>
      <c r="D21">
        <v>-188.46166756829999</v>
      </c>
      <c r="E21">
        <v>-188.4638697668</v>
      </c>
      <c r="F21">
        <v>-188.46166756829999</v>
      </c>
      <c r="G21">
        <v>-188.4641946049</v>
      </c>
      <c r="H21">
        <v>-188.46134459449999</v>
      </c>
    </row>
    <row r="22" spans="1:8" x14ac:dyDescent="0.25">
      <c r="A22" t="s">
        <v>22</v>
      </c>
      <c r="B22">
        <v>-188.47704810179999</v>
      </c>
      <c r="C22">
        <v>-188.4781558869</v>
      </c>
      <c r="D22">
        <v>-188.47594074680001</v>
      </c>
      <c r="E22">
        <v>-188.4781558869</v>
      </c>
      <c r="F22">
        <v>-188.47594074680001</v>
      </c>
      <c r="G22">
        <v>-188.47846605429999</v>
      </c>
      <c r="H22">
        <v>-188.47563252719999</v>
      </c>
    </row>
    <row r="23" spans="1:8" x14ac:dyDescent="0.25">
      <c r="A23" t="s">
        <v>23</v>
      </c>
      <c r="B23">
        <v>-188.55732813309999</v>
      </c>
      <c r="C23">
        <v>-188.55842425860001</v>
      </c>
      <c r="D23">
        <v>-188.55623238839999</v>
      </c>
      <c r="E23">
        <v>-188.55842425860001</v>
      </c>
      <c r="F23">
        <v>-188.55623238839999</v>
      </c>
      <c r="G23">
        <v>-188.55875705259999</v>
      </c>
      <c r="H23">
        <v>-188.55590141339999</v>
      </c>
    </row>
    <row r="24" spans="1:8" x14ac:dyDescent="0.25">
      <c r="A24" t="s">
        <v>24</v>
      </c>
      <c r="B24">
        <v>-188.601268619</v>
      </c>
      <c r="C24">
        <v>-188.6023657065</v>
      </c>
      <c r="D24">
        <v>-188.60017192820001</v>
      </c>
      <c r="E24">
        <v>-188.6023657065</v>
      </c>
      <c r="F24">
        <v>-188.60017192820001</v>
      </c>
      <c r="G24">
        <v>-188.60268797130001</v>
      </c>
      <c r="H24">
        <v>-188.59985152569999</v>
      </c>
    </row>
    <row r="25" spans="1:8" x14ac:dyDescent="0.25">
      <c r="A25" t="s">
        <v>25</v>
      </c>
      <c r="B25">
        <v>-188.47704810179999</v>
      </c>
      <c r="C25">
        <v>-188.4781558869</v>
      </c>
      <c r="D25">
        <v>-188.47594074680001</v>
      </c>
      <c r="E25">
        <v>-188.4781558869</v>
      </c>
      <c r="F25">
        <v>-188.47594074680001</v>
      </c>
      <c r="G25">
        <v>-188.47846605429999</v>
      </c>
      <c r="H25">
        <v>-188.47563252719999</v>
      </c>
    </row>
    <row r="26" spans="1:8" x14ac:dyDescent="0.25">
      <c r="A26" t="s">
        <v>26</v>
      </c>
      <c r="B26">
        <v>-112.7820950226</v>
      </c>
      <c r="C26">
        <v>-112.7828550438</v>
      </c>
      <c r="D26">
        <v>-112.7813353805</v>
      </c>
      <c r="E26">
        <v>-112.7828550438</v>
      </c>
      <c r="F26">
        <v>-112.7813353805</v>
      </c>
      <c r="G26">
        <v>-112.783035162</v>
      </c>
      <c r="H26">
        <v>-112.7811562065</v>
      </c>
    </row>
    <row r="27" spans="1:8" x14ac:dyDescent="0.25">
      <c r="A27" t="s">
        <v>27</v>
      </c>
      <c r="B27">
        <v>-113.2379777509</v>
      </c>
    </row>
    <row r="28" spans="1:8" x14ac:dyDescent="0.25">
      <c r="A28" t="s">
        <v>29</v>
      </c>
      <c r="B28">
        <v>-113.24257244189999</v>
      </c>
    </row>
    <row r="29" spans="1:8" x14ac:dyDescent="0.25">
      <c r="A29" t="s">
        <v>30</v>
      </c>
      <c r="B29">
        <v>-113.29693683719999</v>
      </c>
    </row>
    <row r="30" spans="1:8" x14ac:dyDescent="0.25">
      <c r="A30" t="s">
        <v>31</v>
      </c>
      <c r="B30">
        <v>-113.32025955979999</v>
      </c>
    </row>
    <row r="31" spans="1:8" x14ac:dyDescent="0.25">
      <c r="A31" t="s">
        <v>32</v>
      </c>
      <c r="B31">
        <v>-112.47405535119999</v>
      </c>
    </row>
    <row r="32" spans="1:8" x14ac:dyDescent="0.25">
      <c r="A32" t="s">
        <v>33</v>
      </c>
      <c r="B32">
        <v>-76.0607979567</v>
      </c>
      <c r="C32">
        <v>-76.061360086199997</v>
      </c>
      <c r="D32">
        <v>-76.060236106700003</v>
      </c>
      <c r="E32">
        <v>-76.061113679100004</v>
      </c>
      <c r="F32">
        <v>-76.060482511000004</v>
      </c>
      <c r="G32">
        <v>-76.061262212100004</v>
      </c>
      <c r="H32">
        <v>-76.060333965500007</v>
      </c>
    </row>
    <row r="33" spans="1:8" x14ac:dyDescent="0.25">
      <c r="A33" t="s">
        <v>34</v>
      </c>
      <c r="B33">
        <v>-76.381047822900001</v>
      </c>
      <c r="C33">
        <v>-76.381622417700001</v>
      </c>
      <c r="D33">
        <v>-76.380473595300003</v>
      </c>
      <c r="E33">
        <v>-76.381376943800007</v>
      </c>
      <c r="F33">
        <v>-76.380719017199993</v>
      </c>
      <c r="G33">
        <v>-76.381524598499993</v>
      </c>
      <c r="H33">
        <v>-76.380571369099997</v>
      </c>
    </row>
    <row r="34" spans="1:8" x14ac:dyDescent="0.25">
      <c r="A34" t="s">
        <v>35</v>
      </c>
      <c r="B34">
        <v>-76.381691743999994</v>
      </c>
      <c r="C34">
        <v>-76.382276872399999</v>
      </c>
      <c r="D34">
        <v>-76.381107051100003</v>
      </c>
      <c r="E34">
        <v>-76.382031401399999</v>
      </c>
      <c r="F34">
        <v>-76.381352430099994</v>
      </c>
      <c r="G34">
        <v>-76.382178825099999</v>
      </c>
      <c r="H34">
        <v>-76.381205027099995</v>
      </c>
    </row>
    <row r="35" spans="1:8" x14ac:dyDescent="0.25">
      <c r="A35" t="s">
        <v>36</v>
      </c>
      <c r="B35">
        <v>-76.418712703200001</v>
      </c>
      <c r="C35">
        <v>-76.419281600900007</v>
      </c>
      <c r="D35">
        <v>-76.418144142900005</v>
      </c>
      <c r="E35">
        <v>-76.419035409299994</v>
      </c>
      <c r="F35">
        <v>-76.418390299600006</v>
      </c>
      <c r="G35">
        <v>-76.419184071900006</v>
      </c>
      <c r="H35">
        <v>-76.418241637899996</v>
      </c>
    </row>
    <row r="36" spans="1:8" x14ac:dyDescent="0.25">
      <c r="A36" t="s">
        <v>37</v>
      </c>
      <c r="B36">
        <v>-76.433622247499997</v>
      </c>
      <c r="C36">
        <v>-76.434196020100003</v>
      </c>
      <c r="D36">
        <v>-76.433048849299993</v>
      </c>
      <c r="E36">
        <v>-76.433950095599997</v>
      </c>
      <c r="F36">
        <v>-76.433294717300001</v>
      </c>
      <c r="G36">
        <v>-76.434098716799994</v>
      </c>
      <c r="H36">
        <v>-76.433146104900004</v>
      </c>
    </row>
    <row r="37" spans="1:8" x14ac:dyDescent="0.25">
      <c r="A37" t="s">
        <v>38</v>
      </c>
      <c r="B37">
        <v>-76.381691743999994</v>
      </c>
      <c r="C37">
        <v>-76.382276872399999</v>
      </c>
      <c r="D37">
        <v>-76.381107051100003</v>
      </c>
      <c r="E37">
        <v>-76.382031401399999</v>
      </c>
      <c r="F37">
        <v>-76.381352430099994</v>
      </c>
      <c r="G37">
        <v>-76.382178825099999</v>
      </c>
      <c r="H37">
        <v>-76.381205027099995</v>
      </c>
    </row>
    <row r="38" spans="1:8" x14ac:dyDescent="0.25">
      <c r="A38" t="s">
        <v>39</v>
      </c>
      <c r="B38">
        <v>-113.290716496</v>
      </c>
      <c r="C38">
        <v>-113.2915562375</v>
      </c>
      <c r="D38">
        <v>-113.2898778329</v>
      </c>
      <c r="E38">
        <v>-113.2917398269</v>
      </c>
      <c r="F38">
        <v>-113.28969453800001</v>
      </c>
      <c r="G38">
        <v>-113.2915330876</v>
      </c>
      <c r="H38">
        <v>-113.2899003103</v>
      </c>
    </row>
    <row r="39" spans="1:8" x14ac:dyDescent="0.25">
      <c r="A39" t="s">
        <v>40</v>
      </c>
      <c r="B39">
        <v>-113.76759546549999</v>
      </c>
      <c r="C39">
        <v>-113.7684291273</v>
      </c>
      <c r="D39">
        <v>-113.7667630828</v>
      </c>
      <c r="E39">
        <v>-113.7685935395</v>
      </c>
      <c r="F39">
        <v>-113.76659890419999</v>
      </c>
      <c r="G39">
        <v>-113.7684136404</v>
      </c>
      <c r="H39">
        <v>-113.76677774469999</v>
      </c>
    </row>
    <row r="40" spans="1:8" x14ac:dyDescent="0.25">
      <c r="A40" t="s">
        <v>41</v>
      </c>
      <c r="B40">
        <v>-113.7733934118</v>
      </c>
      <c r="C40">
        <v>-113.7742370701</v>
      </c>
      <c r="D40">
        <v>-113.77255122059999</v>
      </c>
      <c r="E40">
        <v>-113.7743921069</v>
      </c>
      <c r="F40">
        <v>-113.7723963593</v>
      </c>
      <c r="G40">
        <v>-113.774217804</v>
      </c>
      <c r="H40">
        <v>-113.7725695207</v>
      </c>
    </row>
    <row r="41" spans="1:8" x14ac:dyDescent="0.25">
      <c r="A41" t="s">
        <v>42</v>
      </c>
      <c r="B41">
        <v>-113.8284642262</v>
      </c>
      <c r="C41">
        <v>-113.8292942441</v>
      </c>
      <c r="D41">
        <v>-113.8276354157</v>
      </c>
      <c r="E41">
        <v>-113.8294607441</v>
      </c>
      <c r="F41">
        <v>-113.8274691566</v>
      </c>
      <c r="G41">
        <v>-113.829277881</v>
      </c>
      <c r="H41">
        <v>-113.8276509999</v>
      </c>
    </row>
    <row r="42" spans="1:8" x14ac:dyDescent="0.25">
      <c r="A42" t="s">
        <v>43</v>
      </c>
      <c r="B42">
        <v>-113.8539133684</v>
      </c>
      <c r="C42">
        <v>-113.85474721590001</v>
      </c>
      <c r="D42">
        <v>-113.8530808269</v>
      </c>
      <c r="E42">
        <v>-113.8549067811</v>
      </c>
      <c r="F42">
        <v>-113.8529214646</v>
      </c>
      <c r="G42">
        <v>-113.85472785899999</v>
      </c>
      <c r="H42">
        <v>-113.8530993259</v>
      </c>
    </row>
    <row r="43" spans="1:8" x14ac:dyDescent="0.25">
      <c r="A43" t="s">
        <v>44</v>
      </c>
      <c r="B43">
        <v>-113.7733934118</v>
      </c>
      <c r="C43">
        <v>-113.7742370701</v>
      </c>
      <c r="D43">
        <v>-113.77255122059999</v>
      </c>
      <c r="E43">
        <v>-113.7743921069</v>
      </c>
      <c r="F43">
        <v>-113.7723963593</v>
      </c>
      <c r="G43">
        <v>-113.774217804</v>
      </c>
      <c r="H43">
        <v>-113.7725695207</v>
      </c>
    </row>
    <row r="44" spans="1:8" x14ac:dyDescent="0.25">
      <c r="A44" t="s">
        <v>45</v>
      </c>
      <c r="B44">
        <v>-100.0612497364</v>
      </c>
      <c r="C44">
        <v>-100.06167329039999</v>
      </c>
      <c r="D44">
        <v>-100.0608262913</v>
      </c>
      <c r="E44">
        <v>-100.06167329039999</v>
      </c>
      <c r="F44">
        <v>-100.0608262913</v>
      </c>
      <c r="G44">
        <v>-100.06148668180001</v>
      </c>
      <c r="H44">
        <v>-100.0610129718</v>
      </c>
    </row>
    <row r="45" spans="1:8" x14ac:dyDescent="0.25">
      <c r="A45" t="s">
        <v>46</v>
      </c>
      <c r="B45">
        <v>-100.39201458479999</v>
      </c>
      <c r="C45">
        <v>-100.3924496268</v>
      </c>
      <c r="D45">
        <v>-100.39157968790001</v>
      </c>
      <c r="E45">
        <v>-100.3924496268</v>
      </c>
      <c r="F45">
        <v>-100.39157968790001</v>
      </c>
      <c r="G45">
        <v>-100.39226800039999</v>
      </c>
      <c r="H45">
        <v>-100.3917613829</v>
      </c>
    </row>
    <row r="46" spans="1:8" x14ac:dyDescent="0.25">
      <c r="A46" t="s">
        <v>47</v>
      </c>
      <c r="B46">
        <v>-100.39287564519999</v>
      </c>
      <c r="C46">
        <v>-100.393318859</v>
      </c>
      <c r="D46">
        <v>-100.39243260249999</v>
      </c>
      <c r="E46">
        <v>-100.393318859</v>
      </c>
      <c r="F46">
        <v>-100.39243260249999</v>
      </c>
      <c r="G46">
        <v>-100.3931393875</v>
      </c>
      <c r="H46">
        <v>-100.3926121395</v>
      </c>
    </row>
    <row r="47" spans="1:8" x14ac:dyDescent="0.25">
      <c r="A47" t="s">
        <v>48</v>
      </c>
      <c r="B47">
        <v>-100.44093352439999</v>
      </c>
      <c r="C47">
        <v>-100.4413637079</v>
      </c>
      <c r="D47">
        <v>-100.4405034734</v>
      </c>
      <c r="E47">
        <v>-100.4413637079</v>
      </c>
      <c r="F47">
        <v>-100.4405034734</v>
      </c>
      <c r="G47">
        <v>-100.44118064040001</v>
      </c>
      <c r="H47">
        <v>-100.4406866125</v>
      </c>
    </row>
    <row r="48" spans="1:8" x14ac:dyDescent="0.25">
      <c r="A48" t="s">
        <v>49</v>
      </c>
      <c r="B48">
        <v>-100.45840232010001</v>
      </c>
      <c r="C48">
        <v>-100.4588364768</v>
      </c>
      <c r="D48">
        <v>-100.4579683101</v>
      </c>
      <c r="E48">
        <v>-100.4588364768</v>
      </c>
      <c r="F48">
        <v>-100.4579683101</v>
      </c>
      <c r="G48">
        <v>-100.4586551272</v>
      </c>
      <c r="H48">
        <v>-100.4581497307</v>
      </c>
    </row>
    <row r="49" spans="1:8" x14ac:dyDescent="0.25">
      <c r="A49" t="s">
        <v>50</v>
      </c>
      <c r="B49">
        <v>-100.39287564519999</v>
      </c>
      <c r="C49">
        <v>-100.393318859</v>
      </c>
      <c r="D49">
        <v>-100.39243260249999</v>
      </c>
      <c r="E49">
        <v>-100.393318859</v>
      </c>
      <c r="F49">
        <v>-100.39243260249999</v>
      </c>
      <c r="G49">
        <v>-100.3931393875</v>
      </c>
      <c r="H49">
        <v>-100.3926121395</v>
      </c>
    </row>
    <row r="50" spans="1:8" x14ac:dyDescent="0.25">
      <c r="A50" t="s">
        <v>51</v>
      </c>
      <c r="B50">
        <v>-150.24000717850001</v>
      </c>
      <c r="C50">
        <v>-150.2407322796</v>
      </c>
      <c r="D50">
        <v>-150.2392824479</v>
      </c>
      <c r="E50">
        <v>-150.24082057710001</v>
      </c>
      <c r="F50">
        <v>-150.2391945439</v>
      </c>
      <c r="G50">
        <v>-150.2408199512</v>
      </c>
      <c r="H50">
        <v>-150.2391946683</v>
      </c>
    </row>
    <row r="51" spans="1:8" x14ac:dyDescent="0.25">
      <c r="A51" t="s">
        <v>52</v>
      </c>
      <c r="B51">
        <v>-150.81573135420001</v>
      </c>
      <c r="C51">
        <v>-150.81647480909999</v>
      </c>
      <c r="D51">
        <v>-150.81498835869999</v>
      </c>
      <c r="E51">
        <v>-150.8165492983</v>
      </c>
      <c r="F51">
        <v>-150.8149142753</v>
      </c>
      <c r="G51">
        <v>-150.81655565439999</v>
      </c>
      <c r="H51">
        <v>-150.81490736180001</v>
      </c>
    </row>
    <row r="52" spans="1:8" x14ac:dyDescent="0.25">
      <c r="A52" t="s">
        <v>53</v>
      </c>
      <c r="B52">
        <v>-150.8290233784</v>
      </c>
      <c r="C52">
        <v>-150.82978261720001</v>
      </c>
      <c r="D52">
        <v>-150.828264674</v>
      </c>
      <c r="E52">
        <v>-150.82985379799999</v>
      </c>
      <c r="F52">
        <v>-150.8281939032</v>
      </c>
      <c r="G52">
        <v>-150.82985586219999</v>
      </c>
      <c r="H52">
        <v>-150.8281912379</v>
      </c>
    </row>
    <row r="53" spans="1:8" x14ac:dyDescent="0.25">
      <c r="A53" t="s">
        <v>54</v>
      </c>
      <c r="B53">
        <v>-150.8885021465</v>
      </c>
      <c r="C53">
        <v>-150.88923754320001</v>
      </c>
      <c r="D53">
        <v>-150.88776717920001</v>
      </c>
      <c r="E53">
        <v>-150.88931184969999</v>
      </c>
      <c r="F53">
        <v>-150.88769327080001</v>
      </c>
      <c r="G53">
        <v>-150.88932019969999</v>
      </c>
      <c r="H53">
        <v>-150.88768438150001</v>
      </c>
    </row>
    <row r="54" spans="1:8" x14ac:dyDescent="0.25">
      <c r="A54" t="s">
        <v>55</v>
      </c>
      <c r="B54">
        <v>-150.92379418420001</v>
      </c>
      <c r="C54">
        <v>-150.92453791209999</v>
      </c>
      <c r="D54">
        <v>-150.92305092589999</v>
      </c>
      <c r="E54">
        <v>-150.92460841959999</v>
      </c>
      <c r="F54">
        <v>-150.92298081530001</v>
      </c>
      <c r="G54">
        <v>-150.92461500490001</v>
      </c>
      <c r="H54">
        <v>-150.92297366790001</v>
      </c>
    </row>
    <row r="55" spans="1:8" x14ac:dyDescent="0.25">
      <c r="A55" t="s">
        <v>56</v>
      </c>
      <c r="B55">
        <v>-150.8290233784</v>
      </c>
      <c r="C55">
        <v>-150.82978261720001</v>
      </c>
      <c r="D55">
        <v>-150.828264674</v>
      </c>
      <c r="E55">
        <v>-150.82985379799999</v>
      </c>
      <c r="F55">
        <v>-150.8281939032</v>
      </c>
      <c r="G55">
        <v>-150.82985586219999</v>
      </c>
      <c r="H55">
        <v>-150.8281912379</v>
      </c>
    </row>
    <row r="56" spans="1:8" x14ac:dyDescent="0.25">
      <c r="A56" t="s">
        <v>57</v>
      </c>
      <c r="B56">
        <v>-108.98569913110001</v>
      </c>
      <c r="C56">
        <v>-108.98647253990001</v>
      </c>
      <c r="D56">
        <v>-108.98492604410001</v>
      </c>
      <c r="E56">
        <v>-108.98647253990001</v>
      </c>
      <c r="F56">
        <v>-108.98492604410001</v>
      </c>
      <c r="G56">
        <v>-108.9865648418</v>
      </c>
      <c r="H56">
        <v>-108.9848341837</v>
      </c>
    </row>
    <row r="57" spans="1:8" x14ac:dyDescent="0.25">
      <c r="A57" t="s">
        <v>58</v>
      </c>
      <c r="B57">
        <v>-109.4453389082</v>
      </c>
      <c r="C57">
        <v>-109.4461036825</v>
      </c>
      <c r="D57">
        <v>-109.4445744785</v>
      </c>
      <c r="E57">
        <v>-109.4461036825</v>
      </c>
      <c r="F57">
        <v>-109.4445744785</v>
      </c>
      <c r="G57">
        <v>-109.446210706</v>
      </c>
      <c r="H57">
        <v>-109.4444679729</v>
      </c>
    </row>
    <row r="58" spans="1:8" x14ac:dyDescent="0.25">
      <c r="A58" t="s">
        <v>59</v>
      </c>
      <c r="B58">
        <v>-109.4524995749</v>
      </c>
      <c r="C58">
        <v>-109.4532670116</v>
      </c>
      <c r="D58">
        <v>-109.451732509</v>
      </c>
      <c r="E58">
        <v>-109.4532670116</v>
      </c>
      <c r="F58">
        <v>-109.451732509</v>
      </c>
      <c r="G58">
        <v>-109.4533810682</v>
      </c>
      <c r="H58">
        <v>-109.4516190178</v>
      </c>
    </row>
    <row r="59" spans="1:8" x14ac:dyDescent="0.25">
      <c r="A59" t="s">
        <v>60</v>
      </c>
      <c r="B59">
        <v>-109.4994664987</v>
      </c>
      <c r="C59">
        <v>-109.5002285624</v>
      </c>
      <c r="D59">
        <v>-109.49870476460001</v>
      </c>
      <c r="E59">
        <v>-109.5002285624</v>
      </c>
      <c r="F59">
        <v>-109.49870476460001</v>
      </c>
      <c r="G59">
        <v>-109.5003335512</v>
      </c>
      <c r="H59">
        <v>-109.4986002734</v>
      </c>
    </row>
    <row r="60" spans="1:8" x14ac:dyDescent="0.25">
      <c r="A60" t="s">
        <v>61</v>
      </c>
      <c r="B60">
        <v>-109.5242270626</v>
      </c>
      <c r="C60">
        <v>-109.52498750949999</v>
      </c>
      <c r="D60">
        <v>-109.5234669554</v>
      </c>
      <c r="E60">
        <v>-109.52498750949999</v>
      </c>
      <c r="F60">
        <v>-109.5234669554</v>
      </c>
      <c r="G60">
        <v>-109.5250997725</v>
      </c>
      <c r="H60">
        <v>-109.52335521880001</v>
      </c>
    </row>
    <row r="61" spans="1:8" x14ac:dyDescent="0.25">
      <c r="A61" t="s">
        <v>62</v>
      </c>
      <c r="B61">
        <v>-109.4524995749</v>
      </c>
      <c r="C61">
        <v>-109.4532670116</v>
      </c>
      <c r="D61">
        <v>-109.451732509</v>
      </c>
      <c r="E61">
        <v>-109.4532670116</v>
      </c>
      <c r="F61">
        <v>-109.451732509</v>
      </c>
      <c r="G61">
        <v>-109.4533810682</v>
      </c>
      <c r="H61">
        <v>-109.4516190178</v>
      </c>
    </row>
    <row r="62" spans="1:8" x14ac:dyDescent="0.25">
      <c r="A62" t="s">
        <v>63</v>
      </c>
      <c r="B62">
        <v>-75.421831584700001</v>
      </c>
      <c r="C62">
        <v>-75.4223318409</v>
      </c>
      <c r="D62">
        <v>-75.421331554700004</v>
      </c>
      <c r="E62">
        <v>-75.422234260500005</v>
      </c>
      <c r="F62">
        <v>-75.421429021400002</v>
      </c>
      <c r="G62">
        <v>-75.422394612000005</v>
      </c>
      <c r="H62">
        <v>-75.4212693952</v>
      </c>
    </row>
    <row r="63" spans="1:8" x14ac:dyDescent="0.25">
      <c r="A63" t="s">
        <v>64</v>
      </c>
      <c r="B63">
        <v>-75.686609016199995</v>
      </c>
      <c r="C63">
        <v>-75.687021398499994</v>
      </c>
      <c r="D63">
        <v>-75.686196776100005</v>
      </c>
      <c r="E63">
        <v>-75.687120406299996</v>
      </c>
      <c r="F63">
        <v>-75.686097922499997</v>
      </c>
      <c r="G63">
        <v>-75.687169855199997</v>
      </c>
      <c r="H63">
        <v>-75.686049104299997</v>
      </c>
    </row>
    <row r="64" spans="1:8" x14ac:dyDescent="0.25">
      <c r="A64" t="s">
        <v>65</v>
      </c>
      <c r="B64">
        <v>-75.683903898599993</v>
      </c>
      <c r="C64">
        <v>-75.6843233293</v>
      </c>
      <c r="D64">
        <v>-75.683484631599995</v>
      </c>
      <c r="E64">
        <v>-75.684424793900007</v>
      </c>
      <c r="F64">
        <v>-75.683383355900006</v>
      </c>
      <c r="G64">
        <v>-75.684467296700007</v>
      </c>
      <c r="H64">
        <v>-75.683341486200007</v>
      </c>
    </row>
    <row r="65" spans="1:8" x14ac:dyDescent="0.25">
      <c r="A65" t="s">
        <v>66</v>
      </c>
      <c r="B65">
        <v>-75.729840933899993</v>
      </c>
      <c r="C65">
        <v>-75.730248240999998</v>
      </c>
      <c r="D65">
        <v>-75.729433756999995</v>
      </c>
      <c r="E65">
        <v>-75.730346885599999</v>
      </c>
      <c r="F65">
        <v>-75.729335252799999</v>
      </c>
      <c r="G65">
        <v>-75.730400224099995</v>
      </c>
      <c r="H65">
        <v>-75.729282544300005</v>
      </c>
    </row>
    <row r="66" spans="1:8" x14ac:dyDescent="0.25">
      <c r="A66" t="s">
        <v>67</v>
      </c>
      <c r="B66">
        <v>-75.741595789000002</v>
      </c>
      <c r="C66">
        <v>-75.742005871900005</v>
      </c>
      <c r="D66">
        <v>-75.741185846700006</v>
      </c>
      <c r="E66">
        <v>-75.742106236599994</v>
      </c>
      <c r="F66">
        <v>-75.741085641400005</v>
      </c>
      <c r="G66">
        <v>-75.742155179500003</v>
      </c>
      <c r="H66">
        <v>-75.741037331900003</v>
      </c>
    </row>
    <row r="67" spans="1:8" x14ac:dyDescent="0.25">
      <c r="A67" t="s">
        <v>68</v>
      </c>
      <c r="B67">
        <v>-75.683903898599993</v>
      </c>
      <c r="C67">
        <v>-75.6843233293</v>
      </c>
      <c r="D67">
        <v>-75.683484631599995</v>
      </c>
      <c r="E67">
        <v>-75.684424793900007</v>
      </c>
      <c r="F67">
        <v>-75.683383355900006</v>
      </c>
      <c r="G67">
        <v>-75.684467296700007</v>
      </c>
      <c r="H67">
        <v>-75.683341486200007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2DF25-EB1A-433B-8D26-5F79C39291E8}">
  <dimension ref="A1:U67"/>
  <sheetViews>
    <sheetView tabSelected="1" workbookViewId="0">
      <selection activeCell="J28" sqref="J28"/>
    </sheetView>
  </sheetViews>
  <sheetFormatPr defaultRowHeight="15" x14ac:dyDescent="0.25"/>
  <cols>
    <col min="1" max="1" width="11.42578125" bestFit="1" customWidth="1"/>
    <col min="5" max="5" width="11" bestFit="1" customWidth="1"/>
    <col min="19" max="19" width="12.85546875" customWidth="1"/>
  </cols>
  <sheetData>
    <row r="1" spans="1:21" x14ac:dyDescent="0.25">
      <c r="B1" t="s">
        <v>87</v>
      </c>
      <c r="C1" t="s">
        <v>79</v>
      </c>
      <c r="D1" t="s">
        <v>80</v>
      </c>
      <c r="E1" t="s">
        <v>70</v>
      </c>
      <c r="F1" t="s">
        <v>72</v>
      </c>
      <c r="G1" t="s">
        <v>74</v>
      </c>
      <c r="S1" t="s">
        <v>90</v>
      </c>
      <c r="U1" t="s">
        <v>91</v>
      </c>
    </row>
    <row r="2" spans="1:21" x14ac:dyDescent="0.25">
      <c r="A2" t="s">
        <v>2</v>
      </c>
      <c r="B2">
        <f>K2*$S$2</f>
        <v>0</v>
      </c>
      <c r="C2">
        <f>L2*$S$2</f>
        <v>0</v>
      </c>
      <c r="D2">
        <f>M2*$S$2</f>
        <v>-11.815536824999979</v>
      </c>
      <c r="E2">
        <f>N2*$U$2</f>
        <v>0</v>
      </c>
      <c r="F2">
        <f>O2*$U$2</f>
        <v>0</v>
      </c>
      <c r="G2">
        <f>P2*$U$2</f>
        <v>35.619359917405994</v>
      </c>
      <c r="K2">
        <v>0</v>
      </c>
      <c r="L2">
        <v>0</v>
      </c>
      <c r="M2">
        <v>-6.2524999999999897</v>
      </c>
      <c r="N2">
        <v>0</v>
      </c>
      <c r="O2">
        <v>0</v>
      </c>
      <c r="P2">
        <v>9.9743957499999993</v>
      </c>
      <c r="S2">
        <v>1.8897299999999999</v>
      </c>
      <c r="U2">
        <f>S2^2</f>
        <v>3.5710794728999997</v>
      </c>
    </row>
    <row r="3" spans="1:21" x14ac:dyDescent="0.25">
      <c r="A3" t="s">
        <v>3</v>
      </c>
      <c r="B3">
        <f t="shared" ref="B3:B66" si="0">K3*$S$2</f>
        <v>0</v>
      </c>
      <c r="C3">
        <f t="shared" ref="C3:C66" si="1">L3*$S$2</f>
        <v>0</v>
      </c>
      <c r="D3">
        <f t="shared" ref="D3:D66" si="2">M3*$S$2</f>
        <v>-11.815536824999979</v>
      </c>
      <c r="E3">
        <f t="shared" ref="E3:E66" si="3">N3*$U$2</f>
        <v>0</v>
      </c>
      <c r="F3">
        <f t="shared" ref="F3:F66" si="4">O3*$U$2</f>
        <v>0</v>
      </c>
      <c r="G3">
        <f t="shared" ref="G3:G66" si="5">P3*$U$2</f>
        <v>35.619359917405994</v>
      </c>
      <c r="K3">
        <v>0</v>
      </c>
      <c r="L3">
        <v>0</v>
      </c>
      <c r="M3">
        <v>-6.2524999999999897</v>
      </c>
      <c r="N3">
        <v>0</v>
      </c>
      <c r="O3">
        <v>0</v>
      </c>
      <c r="P3">
        <v>9.9743957499999993</v>
      </c>
    </row>
    <row r="4" spans="1:21" x14ac:dyDescent="0.25">
      <c r="A4" t="s">
        <v>4</v>
      </c>
      <c r="B4">
        <f t="shared" si="0"/>
        <v>0</v>
      </c>
      <c r="C4">
        <f t="shared" si="1"/>
        <v>0</v>
      </c>
      <c r="D4">
        <f t="shared" si="2"/>
        <v>-11.815536824999979</v>
      </c>
      <c r="E4">
        <f t="shared" si="3"/>
        <v>0</v>
      </c>
      <c r="F4">
        <f t="shared" si="4"/>
        <v>0</v>
      </c>
      <c r="G4">
        <f t="shared" si="5"/>
        <v>35.619359917405994</v>
      </c>
      <c r="K4">
        <v>0</v>
      </c>
      <c r="L4">
        <v>0</v>
      </c>
      <c r="M4">
        <v>-6.2524999999999897</v>
      </c>
      <c r="N4">
        <v>0</v>
      </c>
      <c r="O4">
        <v>0</v>
      </c>
      <c r="P4">
        <v>9.9743957499999993</v>
      </c>
    </row>
    <row r="5" spans="1:21" x14ac:dyDescent="0.25">
      <c r="A5" t="s">
        <v>5</v>
      </c>
      <c r="B5">
        <f t="shared" si="0"/>
        <v>0</v>
      </c>
      <c r="C5">
        <f t="shared" si="1"/>
        <v>0</v>
      </c>
      <c r="D5">
        <f t="shared" si="2"/>
        <v>-11.815536824999979</v>
      </c>
      <c r="E5">
        <f t="shared" si="3"/>
        <v>0</v>
      </c>
      <c r="F5">
        <f t="shared" si="4"/>
        <v>0</v>
      </c>
      <c r="G5">
        <f t="shared" si="5"/>
        <v>35.619359917405994</v>
      </c>
      <c r="K5">
        <v>0</v>
      </c>
      <c r="L5">
        <v>0</v>
      </c>
      <c r="M5">
        <v>-6.2524999999999897</v>
      </c>
      <c r="N5">
        <v>0</v>
      </c>
      <c r="O5">
        <v>0</v>
      </c>
      <c r="P5">
        <v>9.9743957499999993</v>
      </c>
    </row>
    <row r="6" spans="1:21" x14ac:dyDescent="0.25">
      <c r="A6" t="s">
        <v>6</v>
      </c>
      <c r="B6">
        <f t="shared" si="0"/>
        <v>0</v>
      </c>
      <c r="C6">
        <f t="shared" si="1"/>
        <v>0</v>
      </c>
      <c r="D6">
        <f t="shared" si="2"/>
        <v>-11.815536824999979</v>
      </c>
      <c r="E6">
        <f t="shared" si="3"/>
        <v>0</v>
      </c>
      <c r="F6">
        <f t="shared" si="4"/>
        <v>0</v>
      </c>
      <c r="G6">
        <f t="shared" si="5"/>
        <v>35.619359917405994</v>
      </c>
      <c r="K6">
        <v>0</v>
      </c>
      <c r="L6">
        <v>0</v>
      </c>
      <c r="M6">
        <v>-6.2524999999999897</v>
      </c>
      <c r="N6">
        <v>0</v>
      </c>
      <c r="O6">
        <v>0</v>
      </c>
      <c r="P6">
        <v>9.9743957499999993</v>
      </c>
    </row>
    <row r="7" spans="1:21" x14ac:dyDescent="0.25">
      <c r="A7" t="s">
        <v>7</v>
      </c>
      <c r="B7">
        <f t="shared" si="0"/>
        <v>0</v>
      </c>
      <c r="C7">
        <f t="shared" si="1"/>
        <v>0</v>
      </c>
      <c r="D7">
        <f t="shared" si="2"/>
        <v>-11.815536824999979</v>
      </c>
      <c r="E7">
        <f t="shared" si="3"/>
        <v>0</v>
      </c>
      <c r="F7">
        <f t="shared" si="4"/>
        <v>0</v>
      </c>
      <c r="G7">
        <f t="shared" si="5"/>
        <v>35.619359917405994</v>
      </c>
      <c r="K7">
        <v>0</v>
      </c>
      <c r="L7">
        <v>0</v>
      </c>
      <c r="M7">
        <v>-6.2524999999999897</v>
      </c>
      <c r="N7">
        <v>0</v>
      </c>
      <c r="O7">
        <v>0</v>
      </c>
      <c r="P7">
        <v>9.9743957499999993</v>
      </c>
    </row>
    <row r="8" spans="1:21" x14ac:dyDescent="0.25">
      <c r="A8" t="s">
        <v>8</v>
      </c>
      <c r="B8">
        <f t="shared" si="0"/>
        <v>0</v>
      </c>
      <c r="C8">
        <f t="shared" si="1"/>
        <v>0</v>
      </c>
      <c r="D8">
        <f t="shared" si="2"/>
        <v>0</v>
      </c>
      <c r="E8">
        <f t="shared" si="3"/>
        <v>5.6263322715428972</v>
      </c>
      <c r="F8">
        <f t="shared" si="4"/>
        <v>5.6263322715428972</v>
      </c>
      <c r="G8">
        <f t="shared" si="5"/>
        <v>5.6263322715428972</v>
      </c>
      <c r="K8">
        <v>0</v>
      </c>
      <c r="L8">
        <v>0</v>
      </c>
      <c r="M8">
        <v>0</v>
      </c>
      <c r="N8">
        <v>1.5755270400000001</v>
      </c>
      <c r="O8">
        <v>1.5755270400000001</v>
      </c>
      <c r="P8">
        <v>1.5755270400000001</v>
      </c>
    </row>
    <row r="9" spans="1:21" x14ac:dyDescent="0.25">
      <c r="A9" t="s">
        <v>9</v>
      </c>
      <c r="B9">
        <f t="shared" si="0"/>
        <v>0</v>
      </c>
      <c r="C9">
        <f t="shared" si="1"/>
        <v>0</v>
      </c>
      <c r="D9">
        <f t="shared" si="2"/>
        <v>0</v>
      </c>
      <c r="E9">
        <f t="shared" si="3"/>
        <v>5.6263322715428972</v>
      </c>
      <c r="F9">
        <f t="shared" si="4"/>
        <v>5.6263322715428972</v>
      </c>
      <c r="G9">
        <f t="shared" si="5"/>
        <v>5.6263322715428972</v>
      </c>
      <c r="K9">
        <v>0</v>
      </c>
      <c r="L9">
        <v>0</v>
      </c>
      <c r="M9">
        <v>0</v>
      </c>
      <c r="N9">
        <v>1.5755270400000001</v>
      </c>
      <c r="O9">
        <v>1.5755270400000001</v>
      </c>
      <c r="P9">
        <v>1.5755270400000001</v>
      </c>
    </row>
    <row r="10" spans="1:21" x14ac:dyDescent="0.25">
      <c r="A10" t="s">
        <v>10</v>
      </c>
      <c r="B10">
        <f t="shared" si="0"/>
        <v>0</v>
      </c>
      <c r="C10">
        <f t="shared" si="1"/>
        <v>0</v>
      </c>
      <c r="D10">
        <f t="shared" si="2"/>
        <v>0</v>
      </c>
      <c r="E10">
        <f t="shared" si="3"/>
        <v>5.6263322715428972</v>
      </c>
      <c r="F10">
        <f t="shared" si="4"/>
        <v>5.6263322715428972</v>
      </c>
      <c r="G10">
        <f t="shared" si="5"/>
        <v>5.6263322715428972</v>
      </c>
      <c r="K10">
        <v>0</v>
      </c>
      <c r="L10">
        <v>0</v>
      </c>
      <c r="M10">
        <v>0</v>
      </c>
      <c r="N10">
        <v>1.5755270400000001</v>
      </c>
      <c r="O10">
        <v>1.5755270400000001</v>
      </c>
      <c r="P10">
        <v>1.5755270400000001</v>
      </c>
    </row>
    <row r="11" spans="1:21" x14ac:dyDescent="0.25">
      <c r="A11" t="s">
        <v>11</v>
      </c>
      <c r="B11">
        <f t="shared" si="0"/>
        <v>0</v>
      </c>
      <c r="C11">
        <f t="shared" si="1"/>
        <v>0</v>
      </c>
      <c r="D11">
        <f t="shared" si="2"/>
        <v>0</v>
      </c>
      <c r="E11">
        <f t="shared" si="3"/>
        <v>5.6263322715428972</v>
      </c>
      <c r="F11">
        <f t="shared" si="4"/>
        <v>5.6263322715428972</v>
      </c>
      <c r="G11">
        <f t="shared" si="5"/>
        <v>5.6263322715428972</v>
      </c>
      <c r="K11">
        <v>0</v>
      </c>
      <c r="L11">
        <v>0</v>
      </c>
      <c r="M11">
        <v>0</v>
      </c>
      <c r="N11">
        <v>1.5755270400000001</v>
      </c>
      <c r="O11">
        <v>1.5755270400000001</v>
      </c>
      <c r="P11">
        <v>1.5755270400000001</v>
      </c>
    </row>
    <row r="12" spans="1:21" x14ac:dyDescent="0.25">
      <c r="A12" t="s">
        <v>12</v>
      </c>
      <c r="B12">
        <f t="shared" si="0"/>
        <v>0</v>
      </c>
      <c r="C12">
        <f t="shared" si="1"/>
        <v>0</v>
      </c>
      <c r="D12">
        <f t="shared" si="2"/>
        <v>0</v>
      </c>
      <c r="E12">
        <f t="shared" si="3"/>
        <v>5.6263322715428972</v>
      </c>
      <c r="F12">
        <f t="shared" si="4"/>
        <v>5.6263322715428972</v>
      </c>
      <c r="G12">
        <f t="shared" si="5"/>
        <v>5.6263322715428972</v>
      </c>
      <c r="K12">
        <v>0</v>
      </c>
      <c r="L12">
        <v>0</v>
      </c>
      <c r="M12">
        <v>0</v>
      </c>
      <c r="N12">
        <v>1.5755270400000001</v>
      </c>
      <c r="O12">
        <v>1.5755270400000001</v>
      </c>
      <c r="P12">
        <v>1.5755270400000001</v>
      </c>
    </row>
    <row r="13" spans="1:21" x14ac:dyDescent="0.25">
      <c r="A13" t="s">
        <v>13</v>
      </c>
      <c r="B13">
        <f t="shared" si="0"/>
        <v>0</v>
      </c>
      <c r="C13">
        <f t="shared" si="1"/>
        <v>0</v>
      </c>
      <c r="D13">
        <f t="shared" si="2"/>
        <v>0</v>
      </c>
      <c r="E13">
        <f t="shared" si="3"/>
        <v>5.6263322715428972</v>
      </c>
      <c r="F13">
        <f t="shared" si="4"/>
        <v>5.6263322715428972</v>
      </c>
      <c r="G13">
        <f t="shared" si="5"/>
        <v>5.6263322715428972</v>
      </c>
      <c r="K13">
        <v>0</v>
      </c>
      <c r="L13">
        <v>0</v>
      </c>
      <c r="M13">
        <v>0</v>
      </c>
      <c r="N13">
        <v>1.5755270400000001</v>
      </c>
      <c r="O13">
        <v>1.5755270400000001</v>
      </c>
      <c r="P13">
        <v>1.5755270400000001</v>
      </c>
    </row>
    <row r="14" spans="1:21" x14ac:dyDescent="0.25">
      <c r="A14" t="s">
        <v>14</v>
      </c>
      <c r="B14">
        <f t="shared" si="0"/>
        <v>0</v>
      </c>
      <c r="C14">
        <f t="shared" si="1"/>
        <v>0</v>
      </c>
      <c r="D14">
        <f t="shared" si="2"/>
        <v>13.286313683999982</v>
      </c>
      <c r="E14">
        <f t="shared" si="3"/>
        <v>0</v>
      </c>
      <c r="F14">
        <f t="shared" si="4"/>
        <v>0</v>
      </c>
      <c r="G14">
        <f t="shared" si="5"/>
        <v>29.421021884940942</v>
      </c>
      <c r="K14">
        <v>0</v>
      </c>
      <c r="L14">
        <v>0</v>
      </c>
      <c r="M14">
        <v>7.0307999999999904</v>
      </c>
      <c r="N14">
        <v>0</v>
      </c>
      <c r="O14">
        <v>0</v>
      </c>
      <c r="P14">
        <v>8.2386914400000002</v>
      </c>
    </row>
    <row r="15" spans="1:21" x14ac:dyDescent="0.25">
      <c r="A15" t="s">
        <v>15</v>
      </c>
      <c r="B15">
        <f t="shared" si="0"/>
        <v>0</v>
      </c>
      <c r="C15">
        <f t="shared" si="1"/>
        <v>0</v>
      </c>
      <c r="D15">
        <f t="shared" si="2"/>
        <v>13.286313683999982</v>
      </c>
      <c r="E15">
        <f t="shared" si="3"/>
        <v>0</v>
      </c>
      <c r="F15">
        <f t="shared" si="4"/>
        <v>0</v>
      </c>
      <c r="G15">
        <f t="shared" si="5"/>
        <v>29.421021884940942</v>
      </c>
      <c r="K15">
        <v>0</v>
      </c>
      <c r="L15">
        <v>0</v>
      </c>
      <c r="M15">
        <v>7.0307999999999904</v>
      </c>
      <c r="N15">
        <v>0</v>
      </c>
      <c r="O15">
        <v>0</v>
      </c>
      <c r="P15">
        <v>8.2386914400000002</v>
      </c>
    </row>
    <row r="16" spans="1:21" x14ac:dyDescent="0.25">
      <c r="A16" t="s">
        <v>16</v>
      </c>
      <c r="B16">
        <f t="shared" si="0"/>
        <v>0</v>
      </c>
      <c r="C16">
        <f t="shared" si="1"/>
        <v>0</v>
      </c>
      <c r="D16">
        <f t="shared" si="2"/>
        <v>13.286313683999982</v>
      </c>
      <c r="E16">
        <f t="shared" si="3"/>
        <v>0</v>
      </c>
      <c r="F16">
        <f t="shared" si="4"/>
        <v>0</v>
      </c>
      <c r="G16">
        <f t="shared" si="5"/>
        <v>29.421021884940942</v>
      </c>
      <c r="K16">
        <v>0</v>
      </c>
      <c r="L16">
        <v>0</v>
      </c>
      <c r="M16">
        <v>7.0307999999999904</v>
      </c>
      <c r="N16">
        <v>0</v>
      </c>
      <c r="O16">
        <v>0</v>
      </c>
      <c r="P16">
        <v>8.2386914400000002</v>
      </c>
    </row>
    <row r="17" spans="1:16" x14ac:dyDescent="0.25">
      <c r="A17" t="s">
        <v>17</v>
      </c>
      <c r="B17">
        <f t="shared" si="0"/>
        <v>0</v>
      </c>
      <c r="C17">
        <f t="shared" si="1"/>
        <v>0</v>
      </c>
      <c r="D17">
        <f t="shared" si="2"/>
        <v>13.286313683999982</v>
      </c>
      <c r="E17">
        <f t="shared" si="3"/>
        <v>0</v>
      </c>
      <c r="F17">
        <f t="shared" si="4"/>
        <v>0</v>
      </c>
      <c r="G17">
        <f t="shared" si="5"/>
        <v>29.421021884940942</v>
      </c>
      <c r="K17">
        <v>0</v>
      </c>
      <c r="L17">
        <v>0</v>
      </c>
      <c r="M17">
        <v>7.0307999999999904</v>
      </c>
      <c r="N17">
        <v>0</v>
      </c>
      <c r="O17">
        <v>0</v>
      </c>
      <c r="P17">
        <v>8.2386914400000002</v>
      </c>
    </row>
    <row r="18" spans="1:16" x14ac:dyDescent="0.25">
      <c r="A18" t="s">
        <v>18</v>
      </c>
      <c r="B18">
        <f t="shared" si="0"/>
        <v>0</v>
      </c>
      <c r="C18">
        <f t="shared" si="1"/>
        <v>0</v>
      </c>
      <c r="D18">
        <f t="shared" si="2"/>
        <v>13.286313683999982</v>
      </c>
      <c r="E18">
        <f t="shared" si="3"/>
        <v>0</v>
      </c>
      <c r="F18">
        <f t="shared" si="4"/>
        <v>0</v>
      </c>
      <c r="G18">
        <f t="shared" si="5"/>
        <v>29.421021884940942</v>
      </c>
      <c r="K18">
        <v>0</v>
      </c>
      <c r="L18">
        <v>0</v>
      </c>
      <c r="M18">
        <v>7.0307999999999904</v>
      </c>
      <c r="N18">
        <v>0</v>
      </c>
      <c r="O18">
        <v>0</v>
      </c>
      <c r="P18">
        <v>8.2386914400000002</v>
      </c>
    </row>
    <row r="19" spans="1:16" x14ac:dyDescent="0.25">
      <c r="A19" t="s">
        <v>19</v>
      </c>
      <c r="B19">
        <f t="shared" si="0"/>
        <v>0</v>
      </c>
      <c r="C19">
        <f t="shared" si="1"/>
        <v>0</v>
      </c>
      <c r="D19">
        <f t="shared" si="2"/>
        <v>13.286313683999982</v>
      </c>
      <c r="E19">
        <f t="shared" si="3"/>
        <v>0</v>
      </c>
      <c r="F19">
        <f t="shared" si="4"/>
        <v>0</v>
      </c>
      <c r="G19">
        <f t="shared" si="5"/>
        <v>29.421021884940942</v>
      </c>
      <c r="K19">
        <v>0</v>
      </c>
      <c r="L19">
        <v>0</v>
      </c>
      <c r="M19">
        <v>7.0307999999999904</v>
      </c>
      <c r="N19">
        <v>0</v>
      </c>
      <c r="O19">
        <v>0</v>
      </c>
      <c r="P19">
        <v>8.2386914400000002</v>
      </c>
    </row>
    <row r="20" spans="1:16" x14ac:dyDescent="0.25">
      <c r="A20" t="s">
        <v>20</v>
      </c>
      <c r="B20">
        <f t="shared" si="0"/>
        <v>0</v>
      </c>
      <c r="C20">
        <f t="shared" si="1"/>
        <v>0</v>
      </c>
      <c r="D20">
        <f t="shared" si="2"/>
        <v>0</v>
      </c>
      <c r="E20">
        <f t="shared" si="3"/>
        <v>0</v>
      </c>
      <c r="F20">
        <f t="shared" si="4"/>
        <v>0</v>
      </c>
      <c r="G20">
        <f t="shared" si="5"/>
        <v>77.162537382186585</v>
      </c>
      <c r="K20">
        <v>0</v>
      </c>
      <c r="L20">
        <v>0</v>
      </c>
      <c r="M20">
        <v>0</v>
      </c>
      <c r="N20">
        <v>0</v>
      </c>
      <c r="O20">
        <v>0</v>
      </c>
      <c r="P20">
        <v>21.6076225599999</v>
      </c>
    </row>
    <row r="21" spans="1:16" x14ac:dyDescent="0.25">
      <c r="A21" t="s">
        <v>21</v>
      </c>
      <c r="B21">
        <f t="shared" si="0"/>
        <v>0</v>
      </c>
      <c r="C21">
        <f t="shared" si="1"/>
        <v>0</v>
      </c>
      <c r="D21">
        <f t="shared" si="2"/>
        <v>0</v>
      </c>
      <c r="E21">
        <f t="shared" si="3"/>
        <v>0</v>
      </c>
      <c r="F21">
        <f t="shared" si="4"/>
        <v>0</v>
      </c>
      <c r="G21">
        <f t="shared" si="5"/>
        <v>77.162537382186585</v>
      </c>
      <c r="K21">
        <v>0</v>
      </c>
      <c r="L21">
        <v>0</v>
      </c>
      <c r="M21">
        <v>0</v>
      </c>
      <c r="N21">
        <v>0</v>
      </c>
      <c r="O21">
        <v>0</v>
      </c>
      <c r="P21">
        <v>21.6076225599999</v>
      </c>
    </row>
    <row r="22" spans="1:16" x14ac:dyDescent="0.25">
      <c r="A22" t="s">
        <v>22</v>
      </c>
      <c r="B22">
        <f t="shared" si="0"/>
        <v>0</v>
      </c>
      <c r="C22">
        <f t="shared" si="1"/>
        <v>0</v>
      </c>
      <c r="D22">
        <f t="shared" si="2"/>
        <v>0</v>
      </c>
      <c r="E22">
        <f t="shared" si="3"/>
        <v>0</v>
      </c>
      <c r="F22">
        <f t="shared" si="4"/>
        <v>0</v>
      </c>
      <c r="G22">
        <f t="shared" si="5"/>
        <v>77.162537382186585</v>
      </c>
      <c r="K22">
        <v>0</v>
      </c>
      <c r="L22">
        <v>0</v>
      </c>
      <c r="M22">
        <v>0</v>
      </c>
      <c r="N22">
        <v>0</v>
      </c>
      <c r="O22">
        <v>0</v>
      </c>
      <c r="P22">
        <v>21.6076225599999</v>
      </c>
    </row>
    <row r="23" spans="1:16" x14ac:dyDescent="0.25">
      <c r="A23" t="s">
        <v>23</v>
      </c>
      <c r="B23">
        <f t="shared" si="0"/>
        <v>0</v>
      </c>
      <c r="C23">
        <f t="shared" si="1"/>
        <v>0</v>
      </c>
      <c r="D23">
        <f t="shared" si="2"/>
        <v>0</v>
      </c>
      <c r="E23">
        <f t="shared" si="3"/>
        <v>0</v>
      </c>
      <c r="F23">
        <f t="shared" si="4"/>
        <v>0</v>
      </c>
      <c r="G23">
        <f t="shared" si="5"/>
        <v>77.162537382186585</v>
      </c>
      <c r="K23">
        <v>0</v>
      </c>
      <c r="L23">
        <v>0</v>
      </c>
      <c r="M23">
        <v>0</v>
      </c>
      <c r="N23">
        <v>0</v>
      </c>
      <c r="O23">
        <v>0</v>
      </c>
      <c r="P23">
        <v>21.6076225599999</v>
      </c>
    </row>
    <row r="24" spans="1:16" x14ac:dyDescent="0.25">
      <c r="A24" t="s">
        <v>24</v>
      </c>
      <c r="B24">
        <f t="shared" si="0"/>
        <v>0</v>
      </c>
      <c r="C24">
        <f t="shared" si="1"/>
        <v>0</v>
      </c>
      <c r="D24">
        <f t="shared" si="2"/>
        <v>0</v>
      </c>
      <c r="E24">
        <f t="shared" si="3"/>
        <v>0</v>
      </c>
      <c r="F24">
        <f t="shared" si="4"/>
        <v>0</v>
      </c>
      <c r="G24">
        <f t="shared" si="5"/>
        <v>77.162537382186585</v>
      </c>
      <c r="K24">
        <v>0</v>
      </c>
      <c r="L24">
        <v>0</v>
      </c>
      <c r="M24">
        <v>0</v>
      </c>
      <c r="N24">
        <v>0</v>
      </c>
      <c r="O24">
        <v>0</v>
      </c>
      <c r="P24">
        <v>21.6076225599999</v>
      </c>
    </row>
    <row r="25" spans="1:16" x14ac:dyDescent="0.25">
      <c r="A25" t="s">
        <v>25</v>
      </c>
      <c r="B25">
        <f t="shared" si="0"/>
        <v>0</v>
      </c>
      <c r="C25">
        <f t="shared" si="1"/>
        <v>0</v>
      </c>
      <c r="D25">
        <f t="shared" si="2"/>
        <v>0</v>
      </c>
      <c r="E25">
        <f t="shared" si="3"/>
        <v>0</v>
      </c>
      <c r="F25">
        <f t="shared" si="4"/>
        <v>0</v>
      </c>
      <c r="G25">
        <f t="shared" si="5"/>
        <v>77.162537382186585</v>
      </c>
      <c r="K25">
        <v>0</v>
      </c>
      <c r="L25">
        <v>0</v>
      </c>
      <c r="M25">
        <v>0</v>
      </c>
      <c r="N25">
        <v>0</v>
      </c>
      <c r="O25">
        <v>0</v>
      </c>
      <c r="P25">
        <v>21.6076225599999</v>
      </c>
    </row>
    <row r="26" spans="1:16" x14ac:dyDescent="0.25">
      <c r="A26" t="s">
        <v>26</v>
      </c>
      <c r="B26">
        <f t="shared" si="0"/>
        <v>0</v>
      </c>
      <c r="C26">
        <f t="shared" si="1"/>
        <v>0</v>
      </c>
      <c r="D26">
        <f t="shared" si="2"/>
        <v>17.055947088</v>
      </c>
      <c r="E26">
        <f t="shared" si="3"/>
        <v>0</v>
      </c>
      <c r="F26">
        <f t="shared" si="4"/>
        <v>0</v>
      </c>
      <c r="G26">
        <f t="shared" si="5"/>
        <v>36.363166383581955</v>
      </c>
      <c r="K26">
        <v>0</v>
      </c>
      <c r="L26">
        <v>0</v>
      </c>
      <c r="M26">
        <v>9.0256000000000007</v>
      </c>
      <c r="N26">
        <v>0</v>
      </c>
      <c r="O26">
        <v>0</v>
      </c>
      <c r="P26">
        <v>10.18268192</v>
      </c>
    </row>
    <row r="27" spans="1:16" x14ac:dyDescent="0.25">
      <c r="A27" t="s">
        <v>27</v>
      </c>
      <c r="B27">
        <f t="shared" si="0"/>
        <v>0</v>
      </c>
      <c r="C27">
        <f t="shared" si="1"/>
        <v>0</v>
      </c>
      <c r="D27">
        <f t="shared" si="2"/>
        <v>17.055947088</v>
      </c>
      <c r="E27">
        <f t="shared" si="3"/>
        <v>0</v>
      </c>
      <c r="F27">
        <f t="shared" si="4"/>
        <v>0</v>
      </c>
      <c r="G27">
        <f t="shared" si="5"/>
        <v>36.363166383581955</v>
      </c>
      <c r="K27">
        <v>0</v>
      </c>
      <c r="L27">
        <v>0</v>
      </c>
      <c r="M27">
        <v>9.0256000000000007</v>
      </c>
      <c r="N27">
        <v>0</v>
      </c>
      <c r="O27">
        <v>0</v>
      </c>
      <c r="P27">
        <v>10.18268192</v>
      </c>
    </row>
    <row r="28" spans="1:16" x14ac:dyDescent="0.25">
      <c r="A28" t="s">
        <v>29</v>
      </c>
      <c r="B28">
        <f t="shared" si="0"/>
        <v>0</v>
      </c>
      <c r="C28">
        <f t="shared" si="1"/>
        <v>0</v>
      </c>
      <c r="D28">
        <f t="shared" si="2"/>
        <v>17.055947088</v>
      </c>
      <c r="E28">
        <f t="shared" si="3"/>
        <v>0</v>
      </c>
      <c r="F28">
        <f t="shared" si="4"/>
        <v>0</v>
      </c>
      <c r="G28">
        <f t="shared" si="5"/>
        <v>36.363166383581955</v>
      </c>
      <c r="K28">
        <v>0</v>
      </c>
      <c r="L28">
        <v>0</v>
      </c>
      <c r="M28">
        <v>9.0256000000000007</v>
      </c>
      <c r="N28">
        <v>0</v>
      </c>
      <c r="O28">
        <v>0</v>
      </c>
      <c r="P28">
        <v>10.18268192</v>
      </c>
    </row>
    <row r="29" spans="1:16" x14ac:dyDescent="0.25">
      <c r="A29" t="s">
        <v>30</v>
      </c>
      <c r="B29">
        <f t="shared" si="0"/>
        <v>0</v>
      </c>
      <c r="C29">
        <f t="shared" si="1"/>
        <v>0</v>
      </c>
      <c r="D29">
        <f t="shared" si="2"/>
        <v>17.055947088</v>
      </c>
      <c r="E29">
        <f t="shared" si="3"/>
        <v>0</v>
      </c>
      <c r="F29">
        <f t="shared" si="4"/>
        <v>0</v>
      </c>
      <c r="G29">
        <f t="shared" si="5"/>
        <v>36.363166383581955</v>
      </c>
      <c r="K29">
        <v>0</v>
      </c>
      <c r="L29">
        <v>0</v>
      </c>
      <c r="M29">
        <v>9.0256000000000007</v>
      </c>
      <c r="N29">
        <v>0</v>
      </c>
      <c r="O29">
        <v>0</v>
      </c>
      <c r="P29">
        <v>10.18268192</v>
      </c>
    </row>
    <row r="30" spans="1:16" x14ac:dyDescent="0.25">
      <c r="A30" t="s">
        <v>31</v>
      </c>
      <c r="B30">
        <f t="shared" si="0"/>
        <v>0</v>
      </c>
      <c r="C30">
        <f t="shared" si="1"/>
        <v>0</v>
      </c>
      <c r="D30">
        <f t="shared" si="2"/>
        <v>17.055947088</v>
      </c>
      <c r="E30">
        <f t="shared" si="3"/>
        <v>0</v>
      </c>
      <c r="F30">
        <f t="shared" si="4"/>
        <v>0</v>
      </c>
      <c r="G30">
        <f t="shared" si="5"/>
        <v>36.363166383581955</v>
      </c>
      <c r="K30">
        <v>0</v>
      </c>
      <c r="L30">
        <v>0</v>
      </c>
      <c r="M30">
        <v>9.0256000000000007</v>
      </c>
      <c r="N30">
        <v>0</v>
      </c>
      <c r="O30">
        <v>0</v>
      </c>
      <c r="P30">
        <v>10.18268192</v>
      </c>
    </row>
    <row r="31" spans="1:16" x14ac:dyDescent="0.25">
      <c r="A31" t="s">
        <v>32</v>
      </c>
      <c r="B31">
        <f t="shared" si="0"/>
        <v>0</v>
      </c>
      <c r="C31">
        <f t="shared" si="1"/>
        <v>0</v>
      </c>
      <c r="D31">
        <f t="shared" si="2"/>
        <v>17.055947088</v>
      </c>
      <c r="E31">
        <f t="shared" si="3"/>
        <v>0</v>
      </c>
      <c r="F31">
        <f t="shared" si="4"/>
        <v>0</v>
      </c>
      <c r="G31">
        <f t="shared" si="5"/>
        <v>36.363166383581955</v>
      </c>
      <c r="K31">
        <v>0</v>
      </c>
      <c r="L31">
        <v>0</v>
      </c>
      <c r="M31">
        <v>9.0256000000000007</v>
      </c>
      <c r="N31">
        <v>0</v>
      </c>
      <c r="O31">
        <v>0</v>
      </c>
      <c r="P31">
        <v>10.18268192</v>
      </c>
    </row>
    <row r="32" spans="1:16" x14ac:dyDescent="0.25">
      <c r="A32" t="s">
        <v>33</v>
      </c>
      <c r="B32">
        <f t="shared" si="0"/>
        <v>0</v>
      </c>
      <c r="C32">
        <f t="shared" si="1"/>
        <v>0</v>
      </c>
      <c r="D32">
        <f t="shared" si="2"/>
        <v>0</v>
      </c>
      <c r="E32">
        <f t="shared" si="3"/>
        <v>0</v>
      </c>
      <c r="F32">
        <f t="shared" si="4"/>
        <v>4.0949699731468892</v>
      </c>
      <c r="G32">
        <f t="shared" si="5"/>
        <v>1.9654207232271292</v>
      </c>
      <c r="K32">
        <v>0</v>
      </c>
      <c r="L32">
        <v>0</v>
      </c>
      <c r="M32">
        <v>0</v>
      </c>
      <c r="N32">
        <v>0</v>
      </c>
      <c r="O32">
        <v>1.1467036799999999</v>
      </c>
      <c r="P32">
        <v>0.55037159999999996</v>
      </c>
    </row>
    <row r="33" spans="1:16" x14ac:dyDescent="0.25">
      <c r="A33" t="s">
        <v>34</v>
      </c>
      <c r="B33">
        <f t="shared" si="0"/>
        <v>0</v>
      </c>
      <c r="C33">
        <f t="shared" si="1"/>
        <v>0</v>
      </c>
      <c r="D33">
        <f t="shared" si="2"/>
        <v>0</v>
      </c>
      <c r="E33">
        <f t="shared" si="3"/>
        <v>0</v>
      </c>
      <c r="F33">
        <f t="shared" si="4"/>
        <v>4.0949699731468892</v>
      </c>
      <c r="G33">
        <f t="shared" si="5"/>
        <v>1.9654207232271292</v>
      </c>
      <c r="K33">
        <v>0</v>
      </c>
      <c r="L33">
        <v>0</v>
      </c>
      <c r="M33">
        <v>0</v>
      </c>
      <c r="N33">
        <v>0</v>
      </c>
      <c r="O33">
        <v>1.1467036799999999</v>
      </c>
      <c r="P33">
        <v>0.55037159999999996</v>
      </c>
    </row>
    <row r="34" spans="1:16" x14ac:dyDescent="0.25">
      <c r="A34" t="s">
        <v>35</v>
      </c>
      <c r="B34">
        <f t="shared" si="0"/>
        <v>0</v>
      </c>
      <c r="C34">
        <f t="shared" si="1"/>
        <v>0</v>
      </c>
      <c r="D34">
        <f t="shared" si="2"/>
        <v>0</v>
      </c>
      <c r="E34">
        <f t="shared" si="3"/>
        <v>0</v>
      </c>
      <c r="F34">
        <f t="shared" si="4"/>
        <v>4.0949699731468892</v>
      </c>
      <c r="G34">
        <f t="shared" si="5"/>
        <v>1.9654207232271292</v>
      </c>
      <c r="K34">
        <v>0</v>
      </c>
      <c r="L34">
        <v>0</v>
      </c>
      <c r="M34">
        <v>0</v>
      </c>
      <c r="N34">
        <v>0</v>
      </c>
      <c r="O34">
        <v>1.1467036799999999</v>
      </c>
      <c r="P34">
        <v>0.55037159999999996</v>
      </c>
    </row>
    <row r="35" spans="1:16" x14ac:dyDescent="0.25">
      <c r="A35" t="s">
        <v>36</v>
      </c>
      <c r="B35">
        <f t="shared" si="0"/>
        <v>0</v>
      </c>
      <c r="C35">
        <f t="shared" si="1"/>
        <v>0</v>
      </c>
      <c r="D35">
        <f t="shared" si="2"/>
        <v>0</v>
      </c>
      <c r="E35">
        <f t="shared" si="3"/>
        <v>0</v>
      </c>
      <c r="F35">
        <f t="shared" si="4"/>
        <v>4.0949699731468892</v>
      </c>
      <c r="G35">
        <f t="shared" si="5"/>
        <v>1.9654207232271292</v>
      </c>
      <c r="K35">
        <v>0</v>
      </c>
      <c r="L35">
        <v>0</v>
      </c>
      <c r="M35">
        <v>0</v>
      </c>
      <c r="N35">
        <v>0</v>
      </c>
      <c r="O35">
        <v>1.1467036799999999</v>
      </c>
      <c r="P35">
        <v>0.55037159999999996</v>
      </c>
    </row>
    <row r="36" spans="1:16" x14ac:dyDescent="0.25">
      <c r="A36" t="s">
        <v>37</v>
      </c>
      <c r="B36">
        <f t="shared" si="0"/>
        <v>0</v>
      </c>
      <c r="C36">
        <f t="shared" si="1"/>
        <v>0</v>
      </c>
      <c r="D36">
        <f t="shared" si="2"/>
        <v>0</v>
      </c>
      <c r="E36">
        <f t="shared" si="3"/>
        <v>0</v>
      </c>
      <c r="F36">
        <f t="shared" si="4"/>
        <v>4.0949699731468892</v>
      </c>
      <c r="G36">
        <f t="shared" si="5"/>
        <v>1.9654207232271292</v>
      </c>
      <c r="K36">
        <v>0</v>
      </c>
      <c r="L36">
        <v>0</v>
      </c>
      <c r="M36">
        <v>0</v>
      </c>
      <c r="N36">
        <v>0</v>
      </c>
      <c r="O36">
        <v>1.1467036799999999</v>
      </c>
      <c r="P36">
        <v>0.55037159999999996</v>
      </c>
    </row>
    <row r="37" spans="1:16" x14ac:dyDescent="0.25">
      <c r="A37" t="s">
        <v>38</v>
      </c>
      <c r="B37">
        <f t="shared" si="0"/>
        <v>0</v>
      </c>
      <c r="C37">
        <f t="shared" si="1"/>
        <v>0</v>
      </c>
      <c r="D37">
        <f t="shared" si="2"/>
        <v>0</v>
      </c>
      <c r="E37">
        <f t="shared" si="3"/>
        <v>0</v>
      </c>
      <c r="F37">
        <f t="shared" si="4"/>
        <v>4.0949699731468892</v>
      </c>
      <c r="G37">
        <f t="shared" si="5"/>
        <v>1.9654207232271292</v>
      </c>
      <c r="K37">
        <v>0</v>
      </c>
      <c r="L37">
        <v>0</v>
      </c>
      <c r="M37">
        <v>0</v>
      </c>
      <c r="N37">
        <v>0</v>
      </c>
      <c r="O37">
        <v>1.1467036799999999</v>
      </c>
      <c r="P37">
        <v>0.55037159999999996</v>
      </c>
    </row>
    <row r="38" spans="1:16" x14ac:dyDescent="0.25">
      <c r="A38" t="s">
        <v>39</v>
      </c>
      <c r="B38">
        <f t="shared" si="0"/>
        <v>-6.8771054159999805</v>
      </c>
      <c r="C38">
        <f t="shared" si="1"/>
        <v>15.763371767999999</v>
      </c>
      <c r="D38">
        <f t="shared" si="2"/>
        <v>0</v>
      </c>
      <c r="E38">
        <f t="shared" si="3"/>
        <v>14.10667839998642</v>
      </c>
      <c r="F38">
        <f t="shared" si="4"/>
        <v>31.060486187022391</v>
      </c>
      <c r="G38">
        <f t="shared" si="5"/>
        <v>0</v>
      </c>
      <c r="K38">
        <v>-3.63919999999999</v>
      </c>
      <c r="L38">
        <v>8.3415999999999997</v>
      </c>
      <c r="M38">
        <v>0</v>
      </c>
      <c r="N38">
        <v>3.9502560799999999</v>
      </c>
      <c r="O38">
        <v>8.6977863199999899</v>
      </c>
      <c r="P38">
        <v>0</v>
      </c>
    </row>
    <row r="39" spans="1:16" x14ac:dyDescent="0.25">
      <c r="A39" t="s">
        <v>40</v>
      </c>
      <c r="B39">
        <f t="shared" si="0"/>
        <v>-6.8771054159999805</v>
      </c>
      <c r="C39">
        <f t="shared" si="1"/>
        <v>15.763371767999999</v>
      </c>
      <c r="D39">
        <f t="shared" si="2"/>
        <v>0</v>
      </c>
      <c r="E39">
        <f t="shared" si="3"/>
        <v>14.10667839998642</v>
      </c>
      <c r="F39">
        <f t="shared" si="4"/>
        <v>31.060486187022391</v>
      </c>
      <c r="G39">
        <f t="shared" si="5"/>
        <v>0</v>
      </c>
      <c r="K39">
        <v>-3.63919999999999</v>
      </c>
      <c r="L39">
        <v>8.3415999999999997</v>
      </c>
      <c r="M39">
        <v>0</v>
      </c>
      <c r="N39">
        <v>3.9502560799999999</v>
      </c>
      <c r="O39">
        <v>8.6977863199999899</v>
      </c>
      <c r="P39">
        <v>0</v>
      </c>
    </row>
    <row r="40" spans="1:16" x14ac:dyDescent="0.25">
      <c r="A40" t="s">
        <v>41</v>
      </c>
      <c r="B40">
        <f t="shared" si="0"/>
        <v>-6.8771054159999805</v>
      </c>
      <c r="C40">
        <f t="shared" si="1"/>
        <v>15.763371767999999</v>
      </c>
      <c r="D40">
        <f t="shared" si="2"/>
        <v>0</v>
      </c>
      <c r="E40">
        <f t="shared" si="3"/>
        <v>14.10667839998642</v>
      </c>
      <c r="F40">
        <f t="shared" si="4"/>
        <v>31.060486187022391</v>
      </c>
      <c r="G40">
        <f t="shared" si="5"/>
        <v>0</v>
      </c>
      <c r="K40">
        <v>-3.63919999999999</v>
      </c>
      <c r="L40">
        <v>8.3415999999999997</v>
      </c>
      <c r="M40">
        <v>0</v>
      </c>
      <c r="N40">
        <v>3.9502560799999999</v>
      </c>
      <c r="O40">
        <v>8.6977863199999899</v>
      </c>
      <c r="P40">
        <v>0</v>
      </c>
    </row>
    <row r="41" spans="1:16" x14ac:dyDescent="0.25">
      <c r="A41" t="s">
        <v>42</v>
      </c>
      <c r="B41">
        <f t="shared" si="0"/>
        <v>-6.8771054159999805</v>
      </c>
      <c r="C41">
        <f t="shared" si="1"/>
        <v>15.763371767999999</v>
      </c>
      <c r="D41">
        <f t="shared" si="2"/>
        <v>0</v>
      </c>
      <c r="E41">
        <f t="shared" si="3"/>
        <v>14.10667839998642</v>
      </c>
      <c r="F41">
        <f t="shared" si="4"/>
        <v>31.060486187022391</v>
      </c>
      <c r="G41">
        <f t="shared" si="5"/>
        <v>0</v>
      </c>
      <c r="K41">
        <v>-3.63919999999999</v>
      </c>
      <c r="L41">
        <v>8.3415999999999997</v>
      </c>
      <c r="M41">
        <v>0</v>
      </c>
      <c r="N41">
        <v>3.9502560799999999</v>
      </c>
      <c r="O41">
        <v>8.6977863199999899</v>
      </c>
      <c r="P41">
        <v>0</v>
      </c>
    </row>
    <row r="42" spans="1:16" x14ac:dyDescent="0.25">
      <c r="A42" t="s">
        <v>43</v>
      </c>
      <c r="B42">
        <f t="shared" si="0"/>
        <v>-6.8771054159999805</v>
      </c>
      <c r="C42">
        <f t="shared" si="1"/>
        <v>15.763371767999999</v>
      </c>
      <c r="D42">
        <f t="shared" si="2"/>
        <v>0</v>
      </c>
      <c r="E42">
        <f t="shared" si="3"/>
        <v>14.10667839998642</v>
      </c>
      <c r="F42">
        <f t="shared" si="4"/>
        <v>31.060486187022391</v>
      </c>
      <c r="G42">
        <f t="shared" si="5"/>
        <v>0</v>
      </c>
      <c r="K42">
        <v>-3.63919999999999</v>
      </c>
      <c r="L42">
        <v>8.3415999999999997</v>
      </c>
      <c r="M42">
        <v>0</v>
      </c>
      <c r="N42">
        <v>3.9502560799999999</v>
      </c>
      <c r="O42">
        <v>8.6977863199999899</v>
      </c>
      <c r="P42">
        <v>0</v>
      </c>
    </row>
    <row r="43" spans="1:16" x14ac:dyDescent="0.25">
      <c r="A43" t="s">
        <v>44</v>
      </c>
      <c r="B43">
        <f t="shared" si="0"/>
        <v>-6.8771054159999805</v>
      </c>
      <c r="C43">
        <f t="shared" si="1"/>
        <v>15.763371767999999</v>
      </c>
      <c r="D43">
        <f t="shared" si="2"/>
        <v>0</v>
      </c>
      <c r="E43">
        <f t="shared" si="3"/>
        <v>14.10667839998642</v>
      </c>
      <c r="F43">
        <f t="shared" si="4"/>
        <v>31.060486187022391</v>
      </c>
      <c r="G43">
        <f t="shared" si="5"/>
        <v>0</v>
      </c>
      <c r="K43">
        <v>-3.63919999999999</v>
      </c>
      <c r="L43">
        <v>8.3415999999999997</v>
      </c>
      <c r="M43">
        <v>0</v>
      </c>
      <c r="N43">
        <v>3.9502560799999999</v>
      </c>
      <c r="O43">
        <v>8.6977863199999899</v>
      </c>
      <c r="P43">
        <v>0</v>
      </c>
    </row>
    <row r="44" spans="1:16" x14ac:dyDescent="0.25">
      <c r="A44" t="s">
        <v>45</v>
      </c>
      <c r="B44">
        <f t="shared" si="0"/>
        <v>0</v>
      </c>
      <c r="C44">
        <f t="shared" si="1"/>
        <v>0</v>
      </c>
      <c r="D44">
        <f t="shared" si="2"/>
        <v>1.7325044639999998</v>
      </c>
      <c r="E44">
        <f t="shared" si="3"/>
        <v>0</v>
      </c>
      <c r="F44">
        <f t="shared" si="4"/>
        <v>0</v>
      </c>
      <c r="G44">
        <f t="shared" si="5"/>
        <v>3.0015717177799233</v>
      </c>
      <c r="K44">
        <v>0</v>
      </c>
      <c r="L44">
        <v>0</v>
      </c>
      <c r="M44">
        <v>0.91679999999999995</v>
      </c>
      <c r="N44">
        <v>0</v>
      </c>
      <c r="O44">
        <v>0</v>
      </c>
      <c r="P44">
        <v>0.84052223999999898</v>
      </c>
    </row>
    <row r="45" spans="1:16" x14ac:dyDescent="0.25">
      <c r="A45" t="s">
        <v>46</v>
      </c>
      <c r="B45">
        <f t="shared" si="0"/>
        <v>0</v>
      </c>
      <c r="C45">
        <f t="shared" si="1"/>
        <v>0</v>
      </c>
      <c r="D45">
        <f t="shared" si="2"/>
        <v>1.7325044639999998</v>
      </c>
      <c r="E45">
        <f t="shared" si="3"/>
        <v>0</v>
      </c>
      <c r="F45">
        <f t="shared" si="4"/>
        <v>0</v>
      </c>
      <c r="G45">
        <f t="shared" si="5"/>
        <v>3.0015717177799233</v>
      </c>
      <c r="K45">
        <v>0</v>
      </c>
      <c r="L45">
        <v>0</v>
      </c>
      <c r="M45">
        <v>0.91679999999999995</v>
      </c>
      <c r="N45">
        <v>0</v>
      </c>
      <c r="O45">
        <v>0</v>
      </c>
      <c r="P45">
        <v>0.84052223999999898</v>
      </c>
    </row>
    <row r="46" spans="1:16" x14ac:dyDescent="0.25">
      <c r="A46" t="s">
        <v>47</v>
      </c>
      <c r="B46">
        <f t="shared" si="0"/>
        <v>0</v>
      </c>
      <c r="C46">
        <f t="shared" si="1"/>
        <v>0</v>
      </c>
      <c r="D46">
        <f t="shared" si="2"/>
        <v>1.7325044639999998</v>
      </c>
      <c r="E46">
        <f t="shared" si="3"/>
        <v>0</v>
      </c>
      <c r="F46">
        <f t="shared" si="4"/>
        <v>0</v>
      </c>
      <c r="G46">
        <f t="shared" si="5"/>
        <v>3.0015717177799233</v>
      </c>
      <c r="K46">
        <v>0</v>
      </c>
      <c r="L46">
        <v>0</v>
      </c>
      <c r="M46">
        <v>0.91679999999999995</v>
      </c>
      <c r="N46">
        <v>0</v>
      </c>
      <c r="O46">
        <v>0</v>
      </c>
      <c r="P46">
        <v>0.84052223999999898</v>
      </c>
    </row>
    <row r="47" spans="1:16" x14ac:dyDescent="0.25">
      <c r="A47" t="s">
        <v>48</v>
      </c>
      <c r="B47">
        <f t="shared" si="0"/>
        <v>0</v>
      </c>
      <c r="C47">
        <f t="shared" si="1"/>
        <v>0</v>
      </c>
      <c r="D47">
        <f t="shared" si="2"/>
        <v>1.7325044639999998</v>
      </c>
      <c r="E47">
        <f t="shared" si="3"/>
        <v>0</v>
      </c>
      <c r="F47">
        <f t="shared" si="4"/>
        <v>0</v>
      </c>
      <c r="G47">
        <f t="shared" si="5"/>
        <v>3.0015717177799233</v>
      </c>
      <c r="K47">
        <v>0</v>
      </c>
      <c r="L47">
        <v>0</v>
      </c>
      <c r="M47">
        <v>0.91679999999999995</v>
      </c>
      <c r="N47">
        <v>0</v>
      </c>
      <c r="O47">
        <v>0</v>
      </c>
      <c r="P47">
        <v>0.84052223999999898</v>
      </c>
    </row>
    <row r="48" spans="1:16" x14ac:dyDescent="0.25">
      <c r="A48" t="s">
        <v>49</v>
      </c>
      <c r="B48">
        <f t="shared" si="0"/>
        <v>0</v>
      </c>
      <c r="C48">
        <f t="shared" si="1"/>
        <v>0</v>
      </c>
      <c r="D48">
        <f t="shared" si="2"/>
        <v>1.7325044639999998</v>
      </c>
      <c r="E48">
        <f t="shared" si="3"/>
        <v>0</v>
      </c>
      <c r="F48">
        <f t="shared" si="4"/>
        <v>0</v>
      </c>
      <c r="G48">
        <f t="shared" si="5"/>
        <v>3.0015717177799233</v>
      </c>
      <c r="K48">
        <v>0</v>
      </c>
      <c r="L48">
        <v>0</v>
      </c>
      <c r="M48">
        <v>0.91679999999999995</v>
      </c>
      <c r="N48">
        <v>0</v>
      </c>
      <c r="O48">
        <v>0</v>
      </c>
      <c r="P48">
        <v>0.84052223999999898</v>
      </c>
    </row>
    <row r="49" spans="1:16" x14ac:dyDescent="0.25">
      <c r="A49" t="s">
        <v>50</v>
      </c>
      <c r="B49">
        <f t="shared" si="0"/>
        <v>0</v>
      </c>
      <c r="C49">
        <f t="shared" si="1"/>
        <v>0</v>
      </c>
      <c r="D49">
        <f t="shared" si="2"/>
        <v>1.7325044639999998</v>
      </c>
      <c r="E49">
        <f t="shared" si="3"/>
        <v>0</v>
      </c>
      <c r="F49">
        <f t="shared" si="4"/>
        <v>0</v>
      </c>
      <c r="G49">
        <f t="shared" si="5"/>
        <v>3.0015717177799233</v>
      </c>
      <c r="K49">
        <v>0</v>
      </c>
      <c r="L49">
        <v>0</v>
      </c>
      <c r="M49">
        <v>0.91679999999999995</v>
      </c>
      <c r="N49">
        <v>0</v>
      </c>
      <c r="O49">
        <v>0</v>
      </c>
      <c r="P49">
        <v>0.84052223999999898</v>
      </c>
    </row>
    <row r="50" spans="1:16" x14ac:dyDescent="0.25">
      <c r="A50" t="s">
        <v>51</v>
      </c>
      <c r="B50">
        <f t="shared" si="0"/>
        <v>-9.448649999998941E-4</v>
      </c>
      <c r="C50">
        <f t="shared" si="1"/>
        <v>4.1960435126497885E-16</v>
      </c>
      <c r="D50">
        <f t="shared" si="2"/>
        <v>0</v>
      </c>
      <c r="E50">
        <f t="shared" si="3"/>
        <v>2.9735862035638534</v>
      </c>
      <c r="F50">
        <f t="shared" si="4"/>
        <v>28.141099292231786</v>
      </c>
      <c r="G50">
        <f t="shared" si="5"/>
        <v>0</v>
      </c>
      <c r="K50">
        <v>-4.9999999999994396E-4</v>
      </c>
      <c r="L50" s="3">
        <v>2.2204460492503101E-16</v>
      </c>
      <c r="M50">
        <v>0</v>
      </c>
      <c r="N50">
        <v>0.83268552999999901</v>
      </c>
      <c r="O50">
        <v>7.8802780799999903</v>
      </c>
      <c r="P50">
        <v>0</v>
      </c>
    </row>
    <row r="51" spans="1:16" x14ac:dyDescent="0.25">
      <c r="A51" t="s">
        <v>52</v>
      </c>
      <c r="B51">
        <f t="shared" si="0"/>
        <v>-9.448649999998941E-4</v>
      </c>
      <c r="C51">
        <f t="shared" si="1"/>
        <v>4.1960435126497885E-16</v>
      </c>
      <c r="D51">
        <f t="shared" si="2"/>
        <v>0</v>
      </c>
      <c r="E51">
        <f t="shared" si="3"/>
        <v>2.9735862035638534</v>
      </c>
      <c r="F51">
        <f t="shared" si="4"/>
        <v>28.141099292231786</v>
      </c>
      <c r="G51">
        <f t="shared" si="5"/>
        <v>0</v>
      </c>
      <c r="K51">
        <v>-4.9999999999994396E-4</v>
      </c>
      <c r="L51" s="3">
        <v>2.2204460492503101E-16</v>
      </c>
      <c r="M51">
        <v>0</v>
      </c>
      <c r="N51">
        <v>0.83268552999999901</v>
      </c>
      <c r="O51">
        <v>7.8802780799999903</v>
      </c>
      <c r="P51">
        <v>0</v>
      </c>
    </row>
    <row r="52" spans="1:16" x14ac:dyDescent="0.25">
      <c r="A52" t="s">
        <v>53</v>
      </c>
      <c r="B52">
        <f t="shared" si="0"/>
        <v>-9.448649999998941E-4</v>
      </c>
      <c r="C52">
        <f t="shared" si="1"/>
        <v>4.1960435126497885E-16</v>
      </c>
      <c r="D52">
        <f t="shared" si="2"/>
        <v>0</v>
      </c>
      <c r="E52">
        <f t="shared" si="3"/>
        <v>2.9735862035638534</v>
      </c>
      <c r="F52">
        <f t="shared" si="4"/>
        <v>28.141099292231786</v>
      </c>
      <c r="G52">
        <f t="shared" si="5"/>
        <v>0</v>
      </c>
      <c r="K52">
        <v>-4.9999999999994396E-4</v>
      </c>
      <c r="L52" s="3">
        <v>2.2204460492503101E-16</v>
      </c>
      <c r="M52">
        <v>0</v>
      </c>
      <c r="N52">
        <v>0.83268552999999901</v>
      </c>
      <c r="O52">
        <v>7.8802780799999903</v>
      </c>
      <c r="P52">
        <v>0</v>
      </c>
    </row>
    <row r="53" spans="1:16" x14ac:dyDescent="0.25">
      <c r="A53" t="s">
        <v>54</v>
      </c>
      <c r="B53">
        <f t="shared" si="0"/>
        <v>-9.448649999998941E-4</v>
      </c>
      <c r="C53">
        <f t="shared" si="1"/>
        <v>4.1960435126497885E-16</v>
      </c>
      <c r="D53">
        <f t="shared" si="2"/>
        <v>0</v>
      </c>
      <c r="E53">
        <f t="shared" si="3"/>
        <v>2.9735862035638534</v>
      </c>
      <c r="F53">
        <f t="shared" si="4"/>
        <v>28.141099292231786</v>
      </c>
      <c r="G53">
        <f t="shared" si="5"/>
        <v>0</v>
      </c>
      <c r="K53">
        <v>-4.9999999999994396E-4</v>
      </c>
      <c r="L53" s="3">
        <v>2.2204460492503101E-16</v>
      </c>
      <c r="M53">
        <v>0</v>
      </c>
      <c r="N53">
        <v>0.83268552999999901</v>
      </c>
      <c r="O53">
        <v>7.8802780799999903</v>
      </c>
      <c r="P53">
        <v>0</v>
      </c>
    </row>
    <row r="54" spans="1:16" x14ac:dyDescent="0.25">
      <c r="A54" t="s">
        <v>55</v>
      </c>
      <c r="B54">
        <f t="shared" si="0"/>
        <v>-9.448649999998941E-4</v>
      </c>
      <c r="C54">
        <f t="shared" si="1"/>
        <v>4.1960435126497885E-16</v>
      </c>
      <c r="D54">
        <f t="shared" si="2"/>
        <v>0</v>
      </c>
      <c r="E54">
        <f t="shared" si="3"/>
        <v>2.9735862035638534</v>
      </c>
      <c r="F54">
        <f t="shared" si="4"/>
        <v>28.141099292231786</v>
      </c>
      <c r="G54">
        <f t="shared" si="5"/>
        <v>0</v>
      </c>
      <c r="K54">
        <v>-4.9999999999994396E-4</v>
      </c>
      <c r="L54" s="3">
        <v>2.2204460492503101E-16</v>
      </c>
      <c r="M54">
        <v>0</v>
      </c>
      <c r="N54">
        <v>0.83268552999999901</v>
      </c>
      <c r="O54">
        <v>7.8802780799999903</v>
      </c>
      <c r="P54">
        <v>0</v>
      </c>
    </row>
    <row r="55" spans="1:16" x14ac:dyDescent="0.25">
      <c r="A55" t="s">
        <v>56</v>
      </c>
      <c r="B55">
        <f t="shared" si="0"/>
        <v>-9.448649999998941E-4</v>
      </c>
      <c r="C55">
        <f t="shared" si="1"/>
        <v>4.1960435126497885E-16</v>
      </c>
      <c r="D55">
        <f t="shared" si="2"/>
        <v>0</v>
      </c>
      <c r="E55">
        <f t="shared" si="3"/>
        <v>2.9735862035638534</v>
      </c>
      <c r="F55">
        <f t="shared" si="4"/>
        <v>28.141099292231786</v>
      </c>
      <c r="G55">
        <f t="shared" si="5"/>
        <v>0</v>
      </c>
      <c r="K55">
        <v>-4.9999999999994396E-4</v>
      </c>
      <c r="L55" s="3">
        <v>2.2204460492503101E-16</v>
      </c>
      <c r="M55">
        <v>0</v>
      </c>
      <c r="N55">
        <v>0.83268552999999901</v>
      </c>
      <c r="O55">
        <v>7.8802780799999903</v>
      </c>
      <c r="P55">
        <v>0</v>
      </c>
    </row>
    <row r="56" spans="1:16" x14ac:dyDescent="0.25">
      <c r="A56" t="s">
        <v>57</v>
      </c>
      <c r="B56">
        <f t="shared" si="0"/>
        <v>0</v>
      </c>
      <c r="C56">
        <f t="shared" si="1"/>
        <v>0</v>
      </c>
      <c r="D56">
        <f t="shared" si="2"/>
        <v>0</v>
      </c>
      <c r="E56">
        <f t="shared" si="3"/>
        <v>0</v>
      </c>
      <c r="F56">
        <f t="shared" si="4"/>
        <v>0</v>
      </c>
      <c r="G56">
        <f t="shared" si="5"/>
        <v>15.057600012034445</v>
      </c>
      <c r="K56">
        <v>0</v>
      </c>
      <c r="L56">
        <v>0</v>
      </c>
      <c r="M56">
        <v>0</v>
      </c>
      <c r="N56">
        <v>0</v>
      </c>
      <c r="O56">
        <v>0</v>
      </c>
      <c r="P56">
        <v>4.2165401599999903</v>
      </c>
    </row>
    <row r="57" spans="1:16" x14ac:dyDescent="0.25">
      <c r="A57" t="s">
        <v>58</v>
      </c>
      <c r="B57">
        <f t="shared" si="0"/>
        <v>0</v>
      </c>
      <c r="C57">
        <f t="shared" si="1"/>
        <v>0</v>
      </c>
      <c r="D57">
        <f t="shared" si="2"/>
        <v>0</v>
      </c>
      <c r="E57">
        <f t="shared" si="3"/>
        <v>0</v>
      </c>
      <c r="F57">
        <f t="shared" si="4"/>
        <v>0</v>
      </c>
      <c r="G57">
        <f t="shared" si="5"/>
        <v>15.057600012034445</v>
      </c>
      <c r="K57">
        <v>0</v>
      </c>
      <c r="L57">
        <v>0</v>
      </c>
      <c r="M57">
        <v>0</v>
      </c>
      <c r="N57">
        <v>0</v>
      </c>
      <c r="O57">
        <v>0</v>
      </c>
      <c r="P57">
        <v>4.2165401599999903</v>
      </c>
    </row>
    <row r="58" spans="1:16" x14ac:dyDescent="0.25">
      <c r="A58" t="s">
        <v>59</v>
      </c>
      <c r="B58">
        <f t="shared" si="0"/>
        <v>0</v>
      </c>
      <c r="C58">
        <f t="shared" si="1"/>
        <v>0</v>
      </c>
      <c r="D58">
        <f t="shared" si="2"/>
        <v>0</v>
      </c>
      <c r="E58">
        <f t="shared" si="3"/>
        <v>0</v>
      </c>
      <c r="F58">
        <f t="shared" si="4"/>
        <v>0</v>
      </c>
      <c r="G58">
        <f t="shared" si="5"/>
        <v>15.057600012034445</v>
      </c>
      <c r="K58">
        <v>0</v>
      </c>
      <c r="L58">
        <v>0</v>
      </c>
      <c r="M58">
        <v>0</v>
      </c>
      <c r="N58">
        <v>0</v>
      </c>
      <c r="O58">
        <v>0</v>
      </c>
      <c r="P58">
        <v>4.2165401599999903</v>
      </c>
    </row>
    <row r="59" spans="1:16" x14ac:dyDescent="0.25">
      <c r="A59" t="s">
        <v>60</v>
      </c>
      <c r="B59">
        <f t="shared" si="0"/>
        <v>0</v>
      </c>
      <c r="C59">
        <f t="shared" si="1"/>
        <v>0</v>
      </c>
      <c r="D59">
        <f t="shared" si="2"/>
        <v>0</v>
      </c>
      <c r="E59">
        <f t="shared" si="3"/>
        <v>0</v>
      </c>
      <c r="F59">
        <f t="shared" si="4"/>
        <v>0</v>
      </c>
      <c r="G59">
        <f t="shared" si="5"/>
        <v>15.057600012034445</v>
      </c>
      <c r="K59">
        <v>0</v>
      </c>
      <c r="L59">
        <v>0</v>
      </c>
      <c r="M59">
        <v>0</v>
      </c>
      <c r="N59">
        <v>0</v>
      </c>
      <c r="O59">
        <v>0</v>
      </c>
      <c r="P59">
        <v>4.2165401599999903</v>
      </c>
    </row>
    <row r="60" spans="1:16" x14ac:dyDescent="0.25">
      <c r="A60" t="s">
        <v>61</v>
      </c>
      <c r="B60">
        <f t="shared" si="0"/>
        <v>0</v>
      </c>
      <c r="C60">
        <f t="shared" si="1"/>
        <v>0</v>
      </c>
      <c r="D60">
        <f t="shared" si="2"/>
        <v>0</v>
      </c>
      <c r="E60">
        <f t="shared" si="3"/>
        <v>0</v>
      </c>
      <c r="F60">
        <f t="shared" si="4"/>
        <v>0</v>
      </c>
      <c r="G60">
        <f t="shared" si="5"/>
        <v>15.057600012034445</v>
      </c>
      <c r="K60">
        <v>0</v>
      </c>
      <c r="L60">
        <v>0</v>
      </c>
      <c r="M60">
        <v>0</v>
      </c>
      <c r="N60">
        <v>0</v>
      </c>
      <c r="O60">
        <v>0</v>
      </c>
      <c r="P60">
        <v>4.2165401599999903</v>
      </c>
    </row>
    <row r="61" spans="1:16" x14ac:dyDescent="0.25">
      <c r="A61" t="s">
        <v>62</v>
      </c>
      <c r="B61">
        <f t="shared" si="0"/>
        <v>0</v>
      </c>
      <c r="C61">
        <f t="shared" si="1"/>
        <v>0</v>
      </c>
      <c r="D61">
        <f t="shared" si="2"/>
        <v>0</v>
      </c>
      <c r="E61">
        <f t="shared" si="3"/>
        <v>0</v>
      </c>
      <c r="F61">
        <f t="shared" si="4"/>
        <v>0</v>
      </c>
      <c r="G61">
        <f t="shared" si="5"/>
        <v>15.057600012034445</v>
      </c>
      <c r="K61">
        <v>0</v>
      </c>
      <c r="L61">
        <v>0</v>
      </c>
      <c r="M61">
        <v>0</v>
      </c>
      <c r="N61">
        <v>0</v>
      </c>
      <c r="O61">
        <v>0</v>
      </c>
      <c r="P61">
        <v>4.2165401599999903</v>
      </c>
    </row>
    <row r="62" spans="1:16" x14ac:dyDescent="0.25">
      <c r="A62" t="s">
        <v>63</v>
      </c>
      <c r="B62">
        <f t="shared" si="0"/>
        <v>0</v>
      </c>
      <c r="C62">
        <f t="shared" si="1"/>
        <v>0</v>
      </c>
      <c r="D62">
        <f t="shared" si="2"/>
        <v>14.659769447999999</v>
      </c>
      <c r="E62">
        <f t="shared" si="3"/>
        <v>0</v>
      </c>
      <c r="F62">
        <f t="shared" si="4"/>
        <v>0</v>
      </c>
      <c r="G62">
        <f t="shared" si="5"/>
        <v>26.863605033564276</v>
      </c>
      <c r="K62">
        <v>0</v>
      </c>
      <c r="L62">
        <v>0</v>
      </c>
      <c r="M62">
        <v>7.7576000000000001</v>
      </c>
      <c r="N62">
        <v>0</v>
      </c>
      <c r="O62">
        <v>0</v>
      </c>
      <c r="P62">
        <v>7.52254472</v>
      </c>
    </row>
    <row r="63" spans="1:16" x14ac:dyDescent="0.25">
      <c r="A63" t="s">
        <v>64</v>
      </c>
      <c r="B63">
        <f t="shared" si="0"/>
        <v>0</v>
      </c>
      <c r="C63">
        <f t="shared" si="1"/>
        <v>0</v>
      </c>
      <c r="D63">
        <f t="shared" si="2"/>
        <v>14.659769447999999</v>
      </c>
      <c r="E63">
        <f t="shared" si="3"/>
        <v>0</v>
      </c>
      <c r="F63">
        <f t="shared" si="4"/>
        <v>0</v>
      </c>
      <c r="G63">
        <f t="shared" si="5"/>
        <v>26.863605033564276</v>
      </c>
      <c r="K63">
        <v>0</v>
      </c>
      <c r="L63">
        <v>0</v>
      </c>
      <c r="M63">
        <v>7.7576000000000001</v>
      </c>
      <c r="N63">
        <v>0</v>
      </c>
      <c r="O63">
        <v>0</v>
      </c>
      <c r="P63">
        <v>7.52254472</v>
      </c>
    </row>
    <row r="64" spans="1:16" x14ac:dyDescent="0.25">
      <c r="A64" t="s">
        <v>65</v>
      </c>
      <c r="B64">
        <f t="shared" si="0"/>
        <v>0</v>
      </c>
      <c r="C64">
        <f t="shared" si="1"/>
        <v>0</v>
      </c>
      <c r="D64">
        <f t="shared" si="2"/>
        <v>14.659769447999999</v>
      </c>
      <c r="E64">
        <f t="shared" si="3"/>
        <v>0</v>
      </c>
      <c r="F64">
        <f t="shared" si="4"/>
        <v>0</v>
      </c>
      <c r="G64">
        <f t="shared" si="5"/>
        <v>26.863605033564276</v>
      </c>
      <c r="K64">
        <v>0</v>
      </c>
      <c r="L64">
        <v>0</v>
      </c>
      <c r="M64">
        <v>7.7576000000000001</v>
      </c>
      <c r="N64">
        <v>0</v>
      </c>
      <c r="O64">
        <v>0</v>
      </c>
      <c r="P64">
        <v>7.52254472</v>
      </c>
    </row>
    <row r="65" spans="1:16" x14ac:dyDescent="0.25">
      <c r="A65" t="s">
        <v>66</v>
      </c>
      <c r="B65">
        <f t="shared" si="0"/>
        <v>0</v>
      </c>
      <c r="C65">
        <f t="shared" si="1"/>
        <v>0</v>
      </c>
      <c r="D65">
        <f t="shared" si="2"/>
        <v>14.659769447999999</v>
      </c>
      <c r="E65">
        <f t="shared" si="3"/>
        <v>0</v>
      </c>
      <c r="F65">
        <f t="shared" si="4"/>
        <v>0</v>
      </c>
      <c r="G65">
        <f t="shared" si="5"/>
        <v>26.863605033564276</v>
      </c>
      <c r="K65">
        <v>0</v>
      </c>
      <c r="L65">
        <v>0</v>
      </c>
      <c r="M65">
        <v>7.7576000000000001</v>
      </c>
      <c r="N65">
        <v>0</v>
      </c>
      <c r="O65">
        <v>0</v>
      </c>
      <c r="P65">
        <v>7.52254472</v>
      </c>
    </row>
    <row r="66" spans="1:16" x14ac:dyDescent="0.25">
      <c r="A66" t="s">
        <v>67</v>
      </c>
      <c r="B66">
        <f t="shared" si="0"/>
        <v>0</v>
      </c>
      <c r="C66">
        <f t="shared" si="1"/>
        <v>0</v>
      </c>
      <c r="D66">
        <f t="shared" si="2"/>
        <v>14.659769447999999</v>
      </c>
      <c r="E66">
        <f t="shared" si="3"/>
        <v>0</v>
      </c>
      <c r="F66">
        <f t="shared" si="4"/>
        <v>0</v>
      </c>
      <c r="G66">
        <f t="shared" si="5"/>
        <v>26.863605033564276</v>
      </c>
      <c r="K66">
        <v>0</v>
      </c>
      <c r="L66">
        <v>0</v>
      </c>
      <c r="M66">
        <v>7.7576000000000001</v>
      </c>
      <c r="N66">
        <v>0</v>
      </c>
      <c r="O66">
        <v>0</v>
      </c>
      <c r="P66">
        <v>7.52254472</v>
      </c>
    </row>
    <row r="67" spans="1:16" x14ac:dyDescent="0.25">
      <c r="A67" t="s">
        <v>68</v>
      </c>
      <c r="B67">
        <f>K67*$S$2</f>
        <v>0</v>
      </c>
      <c r="C67">
        <f>L67*$S$2</f>
        <v>0</v>
      </c>
      <c r="D67">
        <f>M67*$S$2</f>
        <v>14.659769447999999</v>
      </c>
      <c r="E67">
        <f>N67*$U$2</f>
        <v>0</v>
      </c>
      <c r="F67">
        <f>O67*$U$2</f>
        <v>0</v>
      </c>
      <c r="G67">
        <f>P67*$U$2</f>
        <v>26.863605033564276</v>
      </c>
      <c r="K67">
        <v>0</v>
      </c>
      <c r="L67">
        <v>0</v>
      </c>
      <c r="M67">
        <v>7.7576000000000001</v>
      </c>
      <c r="N67">
        <v>0</v>
      </c>
      <c r="O67">
        <v>0</v>
      </c>
      <c r="P67">
        <v>7.52254472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164F0-0D08-4B73-A6B2-3690551EABE3}">
  <dimension ref="A1:I16"/>
  <sheetViews>
    <sheetView workbookViewId="0">
      <selection activeCell="I8" sqref="I8"/>
    </sheetView>
  </sheetViews>
  <sheetFormatPr defaultRowHeight="15" x14ac:dyDescent="0.25"/>
  <cols>
    <col min="3" max="3" width="11.85546875" bestFit="1" customWidth="1"/>
  </cols>
  <sheetData>
    <row r="1" spans="1:9" x14ac:dyDescent="0.25">
      <c r="A1" t="s">
        <v>1</v>
      </c>
      <c r="D1" t="s">
        <v>78</v>
      </c>
      <c r="E1" t="s">
        <v>79</v>
      </c>
      <c r="F1" t="s">
        <v>80</v>
      </c>
    </row>
    <row r="2" spans="1:9" x14ac:dyDescent="0.25">
      <c r="A2">
        <f>1/0.3934303*0.529177</f>
        <v>1.3450336692420486</v>
      </c>
      <c r="D2">
        <v>0</v>
      </c>
      <c r="E2">
        <v>0</v>
      </c>
      <c r="F2">
        <v>-1.5939000000000001</v>
      </c>
    </row>
    <row r="3" spans="1:9" x14ac:dyDescent="0.25">
      <c r="C3" t="s">
        <v>81</v>
      </c>
      <c r="F3">
        <f>F2*A6</f>
        <v>-0.62708855517000006</v>
      </c>
    </row>
    <row r="4" spans="1:9" x14ac:dyDescent="0.25">
      <c r="C4" t="s">
        <v>0</v>
      </c>
      <c r="F4">
        <f>F3-F16</f>
        <v>-15.286858003169998</v>
      </c>
    </row>
    <row r="5" spans="1:9" x14ac:dyDescent="0.25">
      <c r="C5" t="s">
        <v>82</v>
      </c>
      <c r="D5">
        <v>0</v>
      </c>
      <c r="E5">
        <v>0</v>
      </c>
      <c r="F5">
        <f>F4/-9</f>
        <v>1.6985397781299998</v>
      </c>
    </row>
    <row r="6" spans="1:9" x14ac:dyDescent="0.25">
      <c r="A6" s="2">
        <v>0.39343030000000001</v>
      </c>
      <c r="D6" t="s">
        <v>70</v>
      </c>
      <c r="E6" t="s">
        <v>72</v>
      </c>
      <c r="F6" t="s">
        <v>74</v>
      </c>
    </row>
    <row r="7" spans="1:9" x14ac:dyDescent="0.25">
      <c r="D7">
        <v>-5.6403999999999996</v>
      </c>
      <c r="E7">
        <v>-7.0038</v>
      </c>
      <c r="F7">
        <v>-7.5712999999999999</v>
      </c>
    </row>
    <row r="8" spans="1:9" x14ac:dyDescent="0.25">
      <c r="C8" t="s">
        <v>81</v>
      </c>
      <c r="D8">
        <f>D7/A2</f>
        <v>-4.193500972491246</v>
      </c>
      <c r="E8">
        <f>E7/A2</f>
        <v>-5.207155895173071</v>
      </c>
      <c r="F8">
        <f>F7/A2</f>
        <v>-5.6290784187332408</v>
      </c>
      <c r="G8">
        <f>F7*I8</f>
        <v>-5.629443477436328</v>
      </c>
      <c r="I8">
        <v>0.74352402855999999</v>
      </c>
    </row>
    <row r="9" spans="1:9" x14ac:dyDescent="0.25">
      <c r="C9" t="s">
        <v>0</v>
      </c>
      <c r="F9">
        <f>F8-F15</f>
        <v>-32.492683452297513</v>
      </c>
    </row>
    <row r="10" spans="1:9" x14ac:dyDescent="0.25">
      <c r="C10" t="s">
        <v>82</v>
      </c>
      <c r="D10">
        <f>D8/-9</f>
        <v>0.46594455249902733</v>
      </c>
      <c r="E10">
        <f>E8/-9</f>
        <v>0.57857287724145234</v>
      </c>
      <c r="F10">
        <f>F9/-9</f>
        <v>3.6102981613663903</v>
      </c>
    </row>
    <row r="11" spans="1:9" x14ac:dyDescent="0.25">
      <c r="C11" t="s">
        <v>83</v>
      </c>
      <c r="D11">
        <f>SQRT(D10-D5^2)</f>
        <v>0.68260131299245774</v>
      </c>
      <c r="E11">
        <f>SQRT(E10-E5^2)</f>
        <v>0.76063978152700662</v>
      </c>
      <c r="F11">
        <f>SQRT(F10-F5^2)</f>
        <v>0.85162244185817548</v>
      </c>
    </row>
    <row r="12" spans="1:9" x14ac:dyDescent="0.25">
      <c r="A12" t="s">
        <v>84</v>
      </c>
    </row>
    <row r="13" spans="1:9" x14ac:dyDescent="0.25">
      <c r="A13">
        <v>1.8897299999999999</v>
      </c>
      <c r="F13">
        <v>0.96970000000000001</v>
      </c>
    </row>
    <row r="14" spans="1:9" x14ac:dyDescent="0.25">
      <c r="F14">
        <f>F13*A13</f>
        <v>1.8324711809999998</v>
      </c>
    </row>
    <row r="15" spans="1:9" x14ac:dyDescent="0.25">
      <c r="E15" t="s">
        <v>85</v>
      </c>
      <c r="F15">
        <f>8*F14^2</f>
        <v>26.863605033564273</v>
      </c>
    </row>
    <row r="16" spans="1:9" x14ac:dyDescent="0.25">
      <c r="A16">
        <f>0.9697*A13</f>
        <v>1.8324711809999998</v>
      </c>
      <c r="E16" t="s">
        <v>86</v>
      </c>
      <c r="F16">
        <f>8*F14</f>
        <v>14.659769447999999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C32AE-AF6C-41B4-92B7-4CEABB692845}">
  <dimension ref="A1:J1"/>
  <sheetViews>
    <sheetView workbookViewId="0">
      <selection activeCell="H8" sqref="H8"/>
    </sheetView>
  </sheetViews>
  <sheetFormatPr defaultRowHeight="15" x14ac:dyDescent="0.25"/>
  <cols>
    <col min="1" max="1" width="17.5703125" bestFit="1" customWidth="1"/>
  </cols>
  <sheetData>
    <row r="1" spans="1:10" x14ac:dyDescent="0.25">
      <c r="A1" t="s">
        <v>154</v>
      </c>
      <c r="B1" t="s">
        <v>70</v>
      </c>
      <c r="C1" t="s">
        <v>72</v>
      </c>
      <c r="D1" t="s">
        <v>74</v>
      </c>
      <c r="G1" t="s">
        <v>168</v>
      </c>
      <c r="H1" t="s">
        <v>70</v>
      </c>
      <c r="I1" t="s">
        <v>72</v>
      </c>
      <c r="J1" t="s">
        <v>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D019CA-C3C1-4ECE-9D8A-322A0E6B55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dipoles</vt:lpstr>
      <vt:lpstr>quadrupoles</vt:lpstr>
      <vt:lpstr>stdev</vt:lpstr>
      <vt:lpstr>energies</vt:lpstr>
      <vt:lpstr>q,d_sum</vt:lpstr>
      <vt:lpstr>sample</vt:lpstr>
      <vt:lpstr>cbs_limit</vt:lpstr>
      <vt:lpstr>quadrupoles!quadrupoles</vt:lpstr>
      <vt:lpstr>energies!totalenergies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liang</dc:creator>
  <cp:lastModifiedBy>jason liang</cp:lastModifiedBy>
  <dcterms:created xsi:type="dcterms:W3CDTF">2020-05-30T00:36:14Z</dcterms:created>
  <dcterms:modified xsi:type="dcterms:W3CDTF">2020-06-13T02:58:24Z</dcterms:modified>
</cp:coreProperties>
</file>