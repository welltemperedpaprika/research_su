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13_ncr:1_{865C50ED-E2F3-4B01-90D6-61CCA5487C35}" xr6:coauthVersionLast="45" xr6:coauthVersionMax="45" xr10:uidLastSave="{00000000-0000-0000-0000-000000000000}"/>
  <bookViews>
    <workbookView xWindow="-120" yWindow="-120" windowWidth="29040" windowHeight="15840" activeTab="1" xr2:uid="{FA81AE3B-DEFA-473D-BE0F-682341565E4F}"/>
  </bookViews>
  <sheets>
    <sheet name="XX" sheetId="1" r:id="rId1"/>
    <sheet name="workspace" sheetId="2" r:id="rId2"/>
    <sheet name="Sheet6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6" i="6" l="1"/>
  <c r="E11" i="6"/>
  <c r="D11" i="6"/>
  <c r="F11" i="6"/>
  <c r="E10" i="6"/>
  <c r="D10" i="6"/>
  <c r="F10" i="6"/>
  <c r="F5" i="6"/>
  <c r="F16" i="6"/>
  <c r="F4" i="6" s="1"/>
  <c r="F14" i="6"/>
  <c r="F15" i="6" s="1"/>
  <c r="F3" i="6"/>
  <c r="A2" i="6"/>
  <c r="D8" i="6" s="1"/>
  <c r="L3" i="2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B5" i="2"/>
  <c r="F8" i="6" l="1"/>
  <c r="F9" i="6" s="1"/>
  <c r="E8" i="6"/>
</calcChain>
</file>

<file path=xl/sharedStrings.xml><?xml version="1.0" encoding="utf-8"?>
<sst xmlns="http://schemas.openxmlformats.org/spreadsheetml/2006/main" count="57" uniqueCount="44">
  <si>
    <t>Molecules</t>
  </si>
  <si>
    <t>C2H</t>
  </si>
  <si>
    <t>CH4</t>
  </si>
  <si>
    <t>CN</t>
  </si>
  <si>
    <t>CO2</t>
  </si>
  <si>
    <t>H2O</t>
  </si>
  <si>
    <t>HCO</t>
  </si>
  <si>
    <t>HF</t>
  </si>
  <si>
    <t>HO2</t>
  </si>
  <si>
    <t>N2</t>
  </si>
  <si>
    <t>OH</t>
  </si>
  <si>
    <t>Field gradient step size:</t>
  </si>
  <si>
    <t>Electronic energy</t>
  </si>
  <si>
    <t>Experimental value</t>
  </si>
  <si>
    <t>Workspace:</t>
  </si>
  <si>
    <t>Total energy (pbe)</t>
  </si>
  <si>
    <t>Total energy (spw92)</t>
  </si>
  <si>
    <t>Electronic</t>
  </si>
  <si>
    <t>Conversion factor:</t>
  </si>
  <si>
    <t>Zero field:</t>
  </si>
  <si>
    <t>XX:</t>
  </si>
  <si>
    <t>Finite Diff:</t>
  </si>
  <si>
    <t>Q-Chem:</t>
  </si>
  <si>
    <t>(-)XX:</t>
  </si>
  <si>
    <t>PBE(LSDA)</t>
  </si>
  <si>
    <t>SPW92(GGA)</t>
  </si>
  <si>
    <t>SCAN(metaGGA)</t>
  </si>
  <si>
    <t>PBE0(GHGGA)</t>
  </si>
  <si>
    <t>SCAN0(GHmGGA)</t>
  </si>
  <si>
    <t>Total energy(scan)</t>
  </si>
  <si>
    <t>Total energy(pbe0)</t>
  </si>
  <si>
    <t>Total energy(scan0)</t>
  </si>
  <si>
    <t xml:space="preserve">X </t>
  </si>
  <si>
    <t>Y</t>
  </si>
  <si>
    <t>Z</t>
  </si>
  <si>
    <t>XX</t>
  </si>
  <si>
    <t>YY</t>
  </si>
  <si>
    <t>ZZ</t>
  </si>
  <si>
    <t>A to Bohr</t>
  </si>
  <si>
    <t>sum_q:</t>
  </si>
  <si>
    <t>sum_d:</t>
  </si>
  <si>
    <t>Atomic_unit</t>
  </si>
  <si>
    <t>per charge</t>
  </si>
  <si>
    <t>std_dev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</si>
</sst>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3" borderId="2" xfId="3"/>
    <xf numFmtId="0" fontId="4" fillId="0" borderId="0" xfId="4"/>
    <xf numFmtId="0" fontId="1" fillId="0" borderId="1" xfId="1"/>
    <xf numFmtId="0" fontId="2" fillId="2" borderId="0" xfId="2"/>
    <xf numFmtId="0" fontId="3" fillId="3" borderId="0" xfId="3" applyBorder="1"/>
    <xf numFmtId="0" fontId="5" fillId="0" borderId="0" xfId="0" applyFont="1"/>
  </cellXfs>
  <cellStyles count="5">
    <cellStyle name="Calculation" xfId="3" builtinId="22"/>
    <cellStyle name="Explanatory Text" xfId="4" builtinId="53"/>
    <cellStyle name="Good" xfId="2" builtinId="26"/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4DF7-250E-487D-A45B-CC27299356E7}">
  <dimension ref="A1:N11"/>
  <sheetViews>
    <sheetView zoomScale="112" zoomScaleNormal="112" workbookViewId="0">
      <selection activeCell="H19" sqref="H19"/>
    </sheetView>
  </sheetViews>
  <sheetFormatPr defaultRowHeight="15" x14ac:dyDescent="0.25"/>
  <cols>
    <col min="1" max="1" width="9.85546875" customWidth="1"/>
    <col min="4" max="4" width="11.5703125" customWidth="1"/>
    <col min="5" max="5" width="15.85546875" bestFit="1" customWidth="1"/>
    <col min="6" max="6" width="13.28515625" bestFit="1" customWidth="1"/>
    <col min="7" max="7" width="16.5703125" bestFit="1" customWidth="1"/>
    <col min="8" max="8" width="10.42578125" bestFit="1" customWidth="1"/>
    <col min="9" max="10" width="12.7109375" bestFit="1" customWidth="1"/>
    <col min="11" max="11" width="15.85546875" bestFit="1" customWidth="1"/>
    <col min="12" max="12" width="13.28515625" bestFit="1" customWidth="1"/>
    <col min="13" max="13" width="16.5703125" bestFit="1" customWidth="1"/>
    <col min="14" max="14" width="17.28515625" customWidth="1"/>
  </cols>
  <sheetData>
    <row r="1" spans="1:14" ht="15.75" thickBot="1" x14ac:dyDescent="0.3">
      <c r="A1" t="s">
        <v>0</v>
      </c>
      <c r="B1" s="3" t="s">
        <v>22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s="3" t="s">
        <v>21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s="4" t="s">
        <v>13</v>
      </c>
    </row>
    <row r="2" spans="1:14" x14ac:dyDescent="0.25">
      <c r="A2" t="s">
        <v>1</v>
      </c>
      <c r="C2">
        <v>-12.901</v>
      </c>
      <c r="D2">
        <v>-12.901</v>
      </c>
      <c r="E2">
        <v>-12.83</v>
      </c>
      <c r="F2">
        <v>-12.887</v>
      </c>
      <c r="G2">
        <v>-12.866400000000001</v>
      </c>
      <c r="I2">
        <f>(workspace!D14-workspace!D25)/(2*workspace!$B$2)*workspace!$B$5</f>
        <v>-12.900973830580488</v>
      </c>
      <c r="J2">
        <f>(workspace!F14-workspace!F25)/(2*workspace!$B$2)*workspace!$B$5</f>
        <v>-12.900973830580488</v>
      </c>
    </row>
    <row r="3" spans="1:14" x14ac:dyDescent="0.25">
      <c r="A3" t="s">
        <v>2</v>
      </c>
      <c r="C3">
        <v>-8.4939</v>
      </c>
      <c r="D3">
        <v>-8.4939</v>
      </c>
      <c r="E3">
        <v>-8.3782999999999994</v>
      </c>
      <c r="F3">
        <v>-8.3941999999999997</v>
      </c>
      <c r="G3">
        <v>-8.3469999999999995</v>
      </c>
      <c r="I3">
        <f>(workspace!D15-workspace!D26)/(2*workspace!$B$2)*workspace!$B$5</f>
        <v>-8.4938714808687177</v>
      </c>
      <c r="J3">
        <f>(workspace!F15-workspace!F26)/(2*workspace!$B$2)*workspace!$B$5</f>
        <v>-8.4938714808687177</v>
      </c>
    </row>
    <row r="4" spans="1:14" x14ac:dyDescent="0.25">
      <c r="A4" t="s">
        <v>3</v>
      </c>
      <c r="C4">
        <v>-11.054399999999999</v>
      </c>
      <c r="D4">
        <v>-11.054399999999999</v>
      </c>
      <c r="E4">
        <v>-10.9701</v>
      </c>
      <c r="F4">
        <v>-11.032299999999999</v>
      </c>
      <c r="G4">
        <v>-10.9977</v>
      </c>
      <c r="I4">
        <f>(workspace!D16-workspace!D27)/(2*workspace!$B$2)*workspace!$B$5</f>
        <v>-11.054403334253809</v>
      </c>
      <c r="J4">
        <f>(workspace!F16-workspace!F27)/(2*workspace!$B$2)*workspace!$B$5</f>
        <v>-11.054403334253809</v>
      </c>
    </row>
    <row r="5" spans="1:14" x14ac:dyDescent="0.25">
      <c r="A5" t="s">
        <v>4</v>
      </c>
      <c r="C5">
        <v>-14.8972</v>
      </c>
      <c r="D5">
        <v>-14.8972</v>
      </c>
      <c r="E5">
        <v>-14.753500000000001</v>
      </c>
      <c r="F5">
        <v>-14.8102</v>
      </c>
      <c r="G5">
        <v>-14.7407</v>
      </c>
      <c r="I5">
        <f>(workspace!D17-workspace!D28)/(2*workspace!$B$2)*workspace!$B$5</f>
        <v>-14.897190082885079</v>
      </c>
      <c r="J5">
        <f>(workspace!F17-workspace!F28)/(2*workspace!$B$2)*workspace!$B$5</f>
        <v>-14.897190082885079</v>
      </c>
      <c r="N5">
        <v>2.1389999999999998</v>
      </c>
    </row>
    <row r="6" spans="1:14" x14ac:dyDescent="0.25">
      <c r="A6" t="s">
        <v>5</v>
      </c>
      <c r="C6">
        <v>-7.8672000000000004</v>
      </c>
      <c r="D6">
        <v>-7.8672000000000004</v>
      </c>
      <c r="E6">
        <v>-7.7149000000000001</v>
      </c>
      <c r="F6">
        <v>-7.726</v>
      </c>
      <c r="G6">
        <v>-7.6496000000000004</v>
      </c>
      <c r="I6">
        <f>(workspace!D18-workspace!D29)/(2*workspace!$B$2)*workspace!$B$5</f>
        <v>-7.8672451774555343</v>
      </c>
      <c r="J6">
        <f>(workspace!F18-workspace!F29)/(2*workspace!$B$2)*workspace!$B$5</f>
        <v>-7.8672451774555343</v>
      </c>
    </row>
    <row r="7" spans="1:14" x14ac:dyDescent="0.25">
      <c r="A7" t="s">
        <v>6</v>
      </c>
      <c r="C7">
        <v>-11.3376</v>
      </c>
      <c r="D7">
        <v>-11.3376</v>
      </c>
      <c r="E7">
        <v>-11.2067</v>
      </c>
      <c r="F7">
        <v>-11.2044</v>
      </c>
      <c r="G7">
        <v>-11.155900000000001</v>
      </c>
      <c r="I7">
        <f>(workspace!D19-workspace!D30)/(2*workspace!$B$2)*workspace!$B$5</f>
        <v>-11.337621693918063</v>
      </c>
      <c r="J7">
        <f>(workspace!F19-workspace!F30)/(2*workspace!$B$2)*workspace!$B$5</f>
        <v>-11.337621693918063</v>
      </c>
    </row>
    <row r="8" spans="1:14" x14ac:dyDescent="0.25">
      <c r="A8" t="s">
        <v>7</v>
      </c>
      <c r="C8">
        <v>-5.9602000000000004</v>
      </c>
      <c r="D8">
        <v>-5.9602000000000004</v>
      </c>
      <c r="E8">
        <v>-5.8385999999999996</v>
      </c>
      <c r="F8">
        <v>-5.8505000000000003</v>
      </c>
      <c r="G8">
        <v>-5.7851999999999997</v>
      </c>
      <c r="I8">
        <f>(workspace!D20-workspace!D31)/(2*workspace!$B$2)*workspace!$B$5</f>
        <v>-5.9602241604907542</v>
      </c>
      <c r="J8">
        <f>(workspace!F20-workspace!F31)/(2*workspace!$B$2)*workspace!$B$5</f>
        <v>-5.9602241604907542</v>
      </c>
    </row>
    <row r="9" spans="1:14" x14ac:dyDescent="0.25">
      <c r="A9" t="s">
        <v>8</v>
      </c>
      <c r="C9">
        <v>-10.208399999999999</v>
      </c>
      <c r="D9">
        <v>-10.208399999999999</v>
      </c>
      <c r="E9">
        <v>-10.0002</v>
      </c>
      <c r="F9">
        <v>-9.9966000000000008</v>
      </c>
      <c r="G9">
        <v>-9.8884000000000007</v>
      </c>
      <c r="I9">
        <f>(workspace!D21-workspace!D32)/(2*workspace!$B$2)*workspace!$B$5</f>
        <v>-10.208423560078298</v>
      </c>
      <c r="J9">
        <f>(workspace!F21-workspace!F32)/(2*workspace!$B$2)*workspace!$B$5</f>
        <v>-10.208423560078298</v>
      </c>
    </row>
    <row r="10" spans="1:14" x14ac:dyDescent="0.25">
      <c r="A10" t="s">
        <v>9</v>
      </c>
      <c r="C10">
        <v>-10.319800000000001</v>
      </c>
      <c r="D10">
        <v>-10.319800000000001</v>
      </c>
      <c r="E10">
        <v>-10.226000000000001</v>
      </c>
      <c r="F10">
        <v>-10.2842</v>
      </c>
      <c r="G10">
        <v>-10.2478</v>
      </c>
      <c r="I10">
        <f>(workspace!D22-workspace!D33)/(2*workspace!$B$2)*workspace!$B$5</f>
        <v>-10.319788312758456</v>
      </c>
      <c r="J10">
        <f>(workspace!F22-workspace!F33)/(2*workspace!$B$2)*workspace!$B$5</f>
        <v>-10.319788312758456</v>
      </c>
    </row>
    <row r="11" spans="1:14" x14ac:dyDescent="0.25">
      <c r="A11" t="s">
        <v>10</v>
      </c>
      <c r="C11">
        <v>-5.6403999999999996</v>
      </c>
      <c r="D11">
        <v>-5.6403999999999996</v>
      </c>
      <c r="E11">
        <v>-5.5148000000000001</v>
      </c>
      <c r="F11">
        <v>-5.5457000000000001</v>
      </c>
      <c r="G11">
        <v>-5.4775</v>
      </c>
      <c r="I11">
        <f>(workspace!D23-workspace!D34)/(2*workspace!$B$2)*workspace!$B$5</f>
        <v>-5.640383224108465</v>
      </c>
      <c r="J11">
        <f>(workspace!F23-workspace!F34)/(2*workspace!$B$2)*workspace!$B$5</f>
        <v>-5.640383224108465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FA52-326C-426F-8739-B6C9FFD87AD3}">
  <dimension ref="A1:L34"/>
  <sheetViews>
    <sheetView tabSelected="1" topLeftCell="A10" workbookViewId="0">
      <selection activeCell="D28" sqref="D28"/>
    </sheetView>
  </sheetViews>
  <sheetFormatPr defaultRowHeight="15" x14ac:dyDescent="0.25"/>
  <cols>
    <col min="1" max="1" width="11.85546875" bestFit="1" customWidth="1"/>
    <col min="2" max="2" width="22.42578125" bestFit="1" customWidth="1"/>
    <col min="3" max="3" width="10.140625" bestFit="1" customWidth="1"/>
    <col min="4" max="4" width="17.5703125" bestFit="1" customWidth="1"/>
    <col min="5" max="5" width="16.42578125" bestFit="1" customWidth="1"/>
    <col min="6" max="6" width="19.7109375" bestFit="1" customWidth="1"/>
    <col min="7" max="7" width="9.7109375" bestFit="1" customWidth="1"/>
    <col min="8" max="9" width="17.5703125" bestFit="1" customWidth="1"/>
    <col min="10" max="10" width="18.140625" bestFit="1" customWidth="1"/>
    <col min="11" max="11" width="19.7109375" bestFit="1" customWidth="1"/>
    <col min="12" max="12" width="18.5703125" bestFit="1" customWidth="1"/>
  </cols>
  <sheetData>
    <row r="1" spans="1:12" x14ac:dyDescent="0.25">
      <c r="A1" s="2" t="s">
        <v>14</v>
      </c>
      <c r="B1" t="s">
        <v>11</v>
      </c>
      <c r="C1" t="s">
        <v>19</v>
      </c>
      <c r="D1" s="1" t="s">
        <v>15</v>
      </c>
      <c r="E1" t="s">
        <v>12</v>
      </c>
      <c r="F1" s="1" t="s">
        <v>16</v>
      </c>
      <c r="G1" t="s">
        <v>17</v>
      </c>
      <c r="H1" s="5" t="s">
        <v>29</v>
      </c>
      <c r="J1" s="5" t="s">
        <v>30</v>
      </c>
      <c r="L1" s="5" t="s">
        <v>31</v>
      </c>
    </row>
    <row r="2" spans="1:12" x14ac:dyDescent="0.25">
      <c r="B2">
        <v>1E-4</v>
      </c>
      <c r="D2">
        <v>-76.533694987299995</v>
      </c>
      <c r="F2">
        <v>-76.533694987299995</v>
      </c>
      <c r="H2">
        <v>-76.599781982099998</v>
      </c>
      <c r="J2">
        <v>-76.535955655099997</v>
      </c>
      <c r="L2">
        <v>-76.585897780699995</v>
      </c>
    </row>
    <row r="3" spans="1:12" x14ac:dyDescent="0.25">
      <c r="D3">
        <v>-40.464719248500003</v>
      </c>
      <c r="F3">
        <v>-40.464719248500003</v>
      </c>
      <c r="H3">
        <v>-40.506761081299999</v>
      </c>
      <c r="J3">
        <v>-40.475420402399997</v>
      </c>
      <c r="L3">
        <f>-40.5024948792</f>
        <v>-40.5024948792</v>
      </c>
    </row>
    <row r="4" spans="1:12" x14ac:dyDescent="0.25">
      <c r="B4" t="s">
        <v>18</v>
      </c>
      <c r="D4">
        <v>-92.643230188999993</v>
      </c>
      <c r="F4">
        <v>-92.643230188999993</v>
      </c>
      <c r="H4">
        <v>-92.708363816000002</v>
      </c>
      <c r="J4">
        <v>-92.632986065300003</v>
      </c>
      <c r="L4">
        <v>-92.684065503400006</v>
      </c>
    </row>
    <row r="5" spans="1:12" x14ac:dyDescent="0.25">
      <c r="B5">
        <f>1/0.3934303*0.529177</f>
        <v>1.3450336692420486</v>
      </c>
      <c r="D5">
        <v>-188.47704810179999</v>
      </c>
      <c r="F5">
        <v>-188.47704810179999</v>
      </c>
      <c r="H5">
        <v>-188.601268619</v>
      </c>
      <c r="J5">
        <v>-188.46276846870001</v>
      </c>
      <c r="L5">
        <v>-188.55732813309999</v>
      </c>
    </row>
    <row r="6" spans="1:12" x14ac:dyDescent="0.25">
      <c r="D6">
        <v>-76.381691743999994</v>
      </c>
      <c r="F6">
        <v>-76.381691743999994</v>
      </c>
    </row>
    <row r="7" spans="1:12" x14ac:dyDescent="0.25">
      <c r="D7">
        <v>-113.7733934118</v>
      </c>
      <c r="F7">
        <v>-113.7733934118</v>
      </c>
    </row>
    <row r="8" spans="1:12" x14ac:dyDescent="0.25">
      <c r="B8">
        <v>0.2081943</v>
      </c>
      <c r="D8">
        <v>-100.39287564519999</v>
      </c>
      <c r="F8">
        <v>-100.39287564519999</v>
      </c>
    </row>
    <row r="9" spans="1:12" x14ac:dyDescent="0.25">
      <c r="D9">
        <v>-150.8290233784</v>
      </c>
      <c r="F9">
        <v>-150.8290233784</v>
      </c>
    </row>
    <row r="10" spans="1:12" x14ac:dyDescent="0.25">
      <c r="D10">
        <v>-109.4524995749</v>
      </c>
      <c r="F10">
        <v>-109.4524995749</v>
      </c>
    </row>
    <row r="11" spans="1:12" x14ac:dyDescent="0.25">
      <c r="D11">
        <v>-75.683903898599993</v>
      </c>
      <c r="F11">
        <v>-75.683903898599993</v>
      </c>
    </row>
    <row r="13" spans="1:12" x14ac:dyDescent="0.25">
      <c r="C13" t="s">
        <v>20</v>
      </c>
      <c r="D13" s="1" t="s">
        <v>15</v>
      </c>
      <c r="E13" t="s">
        <v>12</v>
      </c>
      <c r="F13" s="1" t="s">
        <v>16</v>
      </c>
    </row>
    <row r="14" spans="1:12" x14ac:dyDescent="0.25">
      <c r="D14">
        <v>-76.534654594599999</v>
      </c>
      <c r="F14">
        <v>-76.534654594599999</v>
      </c>
    </row>
    <row r="15" spans="1:12" x14ac:dyDescent="0.25">
      <c r="D15">
        <v>-40.465351202000001</v>
      </c>
      <c r="F15">
        <v>-40.465351202000001</v>
      </c>
    </row>
    <row r="16" spans="1:12" x14ac:dyDescent="0.25">
      <c r="D16">
        <v>-92.644052323599993</v>
      </c>
      <c r="F16">
        <v>-92.644052323599993</v>
      </c>
    </row>
    <row r="17" spans="3:6" x14ac:dyDescent="0.25">
      <c r="D17">
        <v>-188.4781558869</v>
      </c>
      <c r="F17">
        <v>-188.4781558869</v>
      </c>
    </row>
    <row r="18" spans="3:6" x14ac:dyDescent="0.25">
      <c r="D18">
        <v>-76.382276872399999</v>
      </c>
      <c r="F18">
        <v>-76.382276872399999</v>
      </c>
    </row>
    <row r="19" spans="3:6" x14ac:dyDescent="0.25">
      <c r="D19">
        <v>-113.7742370701</v>
      </c>
      <c r="F19">
        <v>-113.7742370701</v>
      </c>
    </row>
    <row r="20" spans="3:6" x14ac:dyDescent="0.25">
      <c r="D20">
        <v>-100.393318859</v>
      </c>
      <c r="F20">
        <v>-100.393318859</v>
      </c>
    </row>
    <row r="21" spans="3:6" x14ac:dyDescent="0.25">
      <c r="D21">
        <v>-150.82978261720001</v>
      </c>
      <c r="F21">
        <v>-150.82978261720001</v>
      </c>
    </row>
    <row r="22" spans="3:6" x14ac:dyDescent="0.25">
      <c r="D22">
        <v>-109.4532670116</v>
      </c>
      <c r="F22">
        <v>-109.4532670116</v>
      </c>
    </row>
    <row r="23" spans="3:6" x14ac:dyDescent="0.25">
      <c r="D23">
        <v>-75.6843233293</v>
      </c>
      <c r="F23">
        <v>-75.6843233293</v>
      </c>
    </row>
    <row r="25" spans="3:6" x14ac:dyDescent="0.25">
      <c r="C25" t="s">
        <v>23</v>
      </c>
      <c r="D25">
        <v>-76.532736282200005</v>
      </c>
      <c r="F25">
        <v>-76.532736282200005</v>
      </c>
    </row>
    <row r="26" spans="3:6" x14ac:dyDescent="0.25">
      <c r="D26">
        <v>-40.464088204399999</v>
      </c>
      <c r="F26">
        <v>-40.464088204399999</v>
      </c>
    </row>
    <row r="27" spans="3:6" x14ac:dyDescent="0.25">
      <c r="D27">
        <v>-92.642408587299997</v>
      </c>
      <c r="F27">
        <v>-92.642408587299997</v>
      </c>
    </row>
    <row r="28" spans="3:6" x14ac:dyDescent="0.25">
      <c r="D28">
        <v>-188.47594074680001</v>
      </c>
      <c r="F28">
        <v>-188.47594074680001</v>
      </c>
    </row>
    <row r="29" spans="3:6" x14ac:dyDescent="0.25">
      <c r="D29">
        <v>-76.381107051100003</v>
      </c>
      <c r="F29">
        <v>-76.381107051100003</v>
      </c>
    </row>
    <row r="30" spans="3:6" x14ac:dyDescent="0.25">
      <c r="D30">
        <v>-113.77255122059999</v>
      </c>
      <c r="F30">
        <v>-113.77255122059999</v>
      </c>
    </row>
    <row r="31" spans="3:6" x14ac:dyDescent="0.25">
      <c r="D31">
        <v>-100.39243260249999</v>
      </c>
      <c r="F31">
        <v>-100.39243260249999</v>
      </c>
    </row>
    <row r="32" spans="3:6" x14ac:dyDescent="0.25">
      <c r="D32">
        <v>-150.828264674</v>
      </c>
      <c r="F32">
        <v>-150.828264674</v>
      </c>
    </row>
    <row r="33" spans="4:6" x14ac:dyDescent="0.25">
      <c r="D33">
        <v>-109.451732509</v>
      </c>
      <c r="F33">
        <v>-109.451732509</v>
      </c>
    </row>
    <row r="34" spans="4:6" x14ac:dyDescent="0.25">
      <c r="D34">
        <v>-75.683484631599995</v>
      </c>
      <c r="F34">
        <v>-75.683484631599995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4528-F56C-4E94-8256-5EFAC9E7F20F}">
  <dimension ref="A1:F16"/>
  <sheetViews>
    <sheetView workbookViewId="0">
      <selection activeCell="E15" sqref="E15"/>
    </sheetView>
  </sheetViews>
  <sheetFormatPr defaultRowHeight="15" x14ac:dyDescent="0.25"/>
  <cols>
    <col min="1" max="1" width="17.42578125" bestFit="1" customWidth="1"/>
    <col min="3" max="3" width="12.28515625" customWidth="1"/>
  </cols>
  <sheetData>
    <row r="1" spans="1:6" x14ac:dyDescent="0.25">
      <c r="A1" t="s">
        <v>18</v>
      </c>
      <c r="D1" t="s">
        <v>32</v>
      </c>
      <c r="E1" t="s">
        <v>33</v>
      </c>
      <c r="F1" t="s">
        <v>34</v>
      </c>
    </row>
    <row r="2" spans="1:6" x14ac:dyDescent="0.25">
      <c r="A2">
        <f>1/0.3934303*0.529177</f>
        <v>1.3450336692420486</v>
      </c>
      <c r="D2">
        <v>0</v>
      </c>
      <c r="E2">
        <v>0</v>
      </c>
      <c r="F2">
        <v>-1.5939000000000001</v>
      </c>
    </row>
    <row r="3" spans="1:6" x14ac:dyDescent="0.25">
      <c r="C3" t="s">
        <v>41</v>
      </c>
      <c r="F3">
        <f>F2*A6</f>
        <v>-0.62708855517000006</v>
      </c>
    </row>
    <row r="4" spans="1:6" x14ac:dyDescent="0.25">
      <c r="C4" t="s">
        <v>17</v>
      </c>
      <c r="F4">
        <f>F3-F16</f>
        <v>-15.286858003169998</v>
      </c>
    </row>
    <row r="5" spans="1:6" x14ac:dyDescent="0.25">
      <c r="C5" t="s">
        <v>42</v>
      </c>
      <c r="D5">
        <v>0</v>
      </c>
      <c r="E5">
        <v>0</v>
      </c>
      <c r="F5">
        <f>F4/-9</f>
        <v>1.6985397781299998</v>
      </c>
    </row>
    <row r="6" spans="1:6" x14ac:dyDescent="0.25">
      <c r="A6" s="6">
        <v>0.39343030000000001</v>
      </c>
      <c r="D6" t="s">
        <v>35</v>
      </c>
      <c r="E6" t="s">
        <v>36</v>
      </c>
      <c r="F6" t="s">
        <v>37</v>
      </c>
    </row>
    <row r="7" spans="1:6" x14ac:dyDescent="0.25">
      <c r="D7">
        <v>-5.6403999999999996</v>
      </c>
      <c r="E7">
        <v>-7.0038</v>
      </c>
      <c r="F7">
        <v>-7.5712999999999999</v>
      </c>
    </row>
    <row r="8" spans="1:6" x14ac:dyDescent="0.25">
      <c r="C8" t="s">
        <v>41</v>
      </c>
      <c r="D8">
        <f>D7/A2</f>
        <v>-4.193500972491246</v>
      </c>
      <c r="E8">
        <f>E7/A2</f>
        <v>-5.207155895173071</v>
      </c>
      <c r="F8">
        <f>F7/A2</f>
        <v>-5.6290784187332408</v>
      </c>
    </row>
    <row r="9" spans="1:6" x14ac:dyDescent="0.25">
      <c r="C9" t="s">
        <v>17</v>
      </c>
      <c r="F9">
        <f>F8-F15</f>
        <v>-32.492683452297513</v>
      </c>
    </row>
    <row r="10" spans="1:6" x14ac:dyDescent="0.25">
      <c r="C10" t="s">
        <v>42</v>
      </c>
      <c r="D10">
        <f>D8/-9</f>
        <v>0.46594455249902733</v>
      </c>
      <c r="E10">
        <f>E8/-9</f>
        <v>0.57857287724145234</v>
      </c>
      <c r="F10">
        <f>F9/-9</f>
        <v>3.6102981613663903</v>
      </c>
    </row>
    <row r="11" spans="1:6" x14ac:dyDescent="0.25">
      <c r="C11" t="s">
        <v>43</v>
      </c>
      <c r="D11">
        <f>SQRT(D10-D5^2)</f>
        <v>0.68260131299245774</v>
      </c>
      <c r="E11">
        <f>SQRT(E10-E5^2)</f>
        <v>0.76063978152700662</v>
      </c>
      <c r="F11">
        <f>SQRT(F10-F5^2)</f>
        <v>0.85162244185817548</v>
      </c>
    </row>
    <row r="12" spans="1:6" x14ac:dyDescent="0.25">
      <c r="A12" t="s">
        <v>38</v>
      </c>
    </row>
    <row r="13" spans="1:6" x14ac:dyDescent="0.25">
      <c r="A13">
        <v>1.8897299999999999</v>
      </c>
      <c r="F13">
        <v>0.96970000000000001</v>
      </c>
    </row>
    <row r="14" spans="1:6" x14ac:dyDescent="0.25">
      <c r="F14">
        <f>F13*A13</f>
        <v>1.8324711809999998</v>
      </c>
    </row>
    <row r="15" spans="1:6" x14ac:dyDescent="0.25">
      <c r="E15" t="s">
        <v>39</v>
      </c>
      <c r="F15">
        <f>8*F14^2</f>
        <v>26.863605033564273</v>
      </c>
    </row>
    <row r="16" spans="1:6" x14ac:dyDescent="0.25">
      <c r="A16">
        <f>0.9697*A13</f>
        <v>1.8324711809999998</v>
      </c>
      <c r="E16" t="s">
        <v>40</v>
      </c>
      <c r="F16">
        <f>8*F14</f>
        <v>14.659769447999999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XX</vt:lpstr>
      <vt:lpstr>workspace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liang</dc:creator>
  <cp:lastModifiedBy>jason liang</cp:lastModifiedBy>
  <dcterms:created xsi:type="dcterms:W3CDTF">2020-05-30T00:36:14Z</dcterms:created>
  <dcterms:modified xsi:type="dcterms:W3CDTF">2020-06-08T03:46:47Z</dcterms:modified>
</cp:coreProperties>
</file>