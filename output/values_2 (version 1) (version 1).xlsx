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xl/tables/table5.xml" ContentType="application/vnd.openxmlformats-officedocument.spreadsheetml.table+xml"/>
  <Override PartName="/xl/queryTables/queryTable7.xml" ContentType="application/vnd.openxmlformats-officedocument.spreadsheetml.queryTable+xml"/>
  <Override PartName="/xl/tables/table6.xml" ContentType="application/vnd.openxmlformats-officedocument.spreadsheetml.table+xml"/>
  <Override PartName="/xl/queryTables/queryTable8.xml" ContentType="application/vnd.openxmlformats-officedocument.spreadsheetml.queryTable+xml"/>
  <Override PartName="/xl/tables/table7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gh\summer\research\output\"/>
    </mc:Choice>
  </mc:AlternateContent>
  <xr:revisionPtr revIDLastSave="0" documentId="13_ncr:1_{3E4F6B6E-AE2C-48D7-85AF-EEE1F665DD55}" xr6:coauthVersionLast="45" xr6:coauthVersionMax="45" xr10:uidLastSave="{00000000-0000-0000-0000-000000000000}"/>
  <bookViews>
    <workbookView xWindow="-120" yWindow="-120" windowWidth="29040" windowHeight="15840" xr2:uid="{FA81AE3B-DEFA-473D-BE0F-682341565E4F}"/>
  </bookViews>
  <sheets>
    <sheet name="q,d_sum" sheetId="9" r:id="rId1"/>
    <sheet name="dipoles_dft" sheetId="12" r:id="rId2"/>
    <sheet name="quadrupoles_dft" sheetId="6" r:id="rId3"/>
    <sheet name="stdev" sheetId="8" r:id="rId4"/>
    <sheet name="energies" sheetId="5" r:id="rId5"/>
    <sheet name="dipoles_hf" sheetId="18" r:id="rId6"/>
    <sheet name="quadrupoles_hf" sheetId="17" r:id="rId7"/>
    <sheet name="cbs_limit(energy)" sheetId="14" r:id="rId8"/>
    <sheet name="cbs_limit" sheetId="13" r:id="rId9"/>
    <sheet name="data_org" sheetId="21" r:id="rId10"/>
    <sheet name="data_raw" sheetId="20" r:id="rId11"/>
  </sheets>
  <externalReferences>
    <externalReference r:id="rId12"/>
  </externalReferences>
  <definedNames>
    <definedName name="ExternalData_1" localSheetId="7" hidden="1">'cbs_limit(energy)'!$A$2:$F$18</definedName>
    <definedName name="ExternalData_1" localSheetId="10" hidden="1">data_raw!$A$1:$G$111</definedName>
    <definedName name="ExternalData_1" localSheetId="1" hidden="1">dipoles_dft!$A$1:$E$67</definedName>
    <definedName name="ExternalData_2" localSheetId="7" hidden="1">'cbs_limit(energy)'!$A$21:$H$37</definedName>
    <definedName name="ExternalData_3" localSheetId="7" hidden="1">'cbs_limit(energy)'!$A$40:$H$56</definedName>
    <definedName name="ExternalData_4" localSheetId="6" hidden="1">quadrupoles_hf!$A$1:$G$17</definedName>
    <definedName name="ExternalData_5" localSheetId="5" hidden="1">dipoles_hf!$A$1:$E$17</definedName>
    <definedName name="quadrupoles" localSheetId="2">quadrupoles_dft!$A$2:$G$67</definedName>
    <definedName name="totalenergies" localSheetId="4">energies!$A$2:$H$67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7" i="13" l="1"/>
  <c r="P18" i="13"/>
  <c r="P19" i="13"/>
  <c r="P16" i="13"/>
  <c r="O17" i="13"/>
  <c r="O18" i="13"/>
  <c r="O19" i="13"/>
  <c r="O16" i="13"/>
  <c r="J17" i="13"/>
  <c r="J18" i="13"/>
  <c r="J19" i="13"/>
  <c r="J16" i="13"/>
  <c r="I17" i="13"/>
  <c r="I18" i="13"/>
  <c r="I19" i="13"/>
  <c r="I16" i="13"/>
  <c r="D17" i="13"/>
  <c r="D18" i="13"/>
  <c r="D19" i="13"/>
  <c r="D16" i="13"/>
  <c r="C17" i="13"/>
  <c r="C18" i="13"/>
  <c r="C19" i="13"/>
  <c r="C16" i="13"/>
  <c r="N17" i="13"/>
  <c r="N18" i="13"/>
  <c r="N19" i="13"/>
  <c r="N16" i="13"/>
  <c r="H17" i="13"/>
  <c r="H18" i="13"/>
  <c r="H19" i="13"/>
  <c r="H16" i="13"/>
  <c r="Q17" i="13"/>
  <c r="Q18" i="13"/>
  <c r="Q19" i="13"/>
  <c r="Q16" i="13"/>
  <c r="K17" i="13"/>
  <c r="K18" i="13"/>
  <c r="K19" i="13"/>
  <c r="K16" i="13"/>
  <c r="E17" i="13"/>
  <c r="E18" i="13"/>
  <c r="E19" i="13"/>
  <c r="E16" i="13"/>
  <c r="B17" i="13"/>
  <c r="T17" i="13" s="1"/>
  <c r="Z17" i="13" s="1"/>
  <c r="B18" i="13"/>
  <c r="T18" i="13" s="1"/>
  <c r="Z18" i="13" s="1"/>
  <c r="B19" i="13"/>
  <c r="T19" i="13" s="1"/>
  <c r="Z19" i="13" s="1"/>
  <c r="B16" i="13"/>
  <c r="T16" i="13" s="1"/>
  <c r="Z16" i="13" s="1"/>
  <c r="B11" i="13"/>
  <c r="B12" i="13"/>
  <c r="B13" i="13"/>
  <c r="B10" i="13"/>
  <c r="P24" i="13"/>
  <c r="P25" i="13"/>
  <c r="P26" i="13"/>
  <c r="P23" i="13"/>
  <c r="O24" i="13"/>
  <c r="O25" i="13"/>
  <c r="O26" i="13"/>
  <c r="O23" i="13"/>
  <c r="I24" i="13"/>
  <c r="I25" i="13"/>
  <c r="I26" i="13"/>
  <c r="I23" i="13"/>
  <c r="J24" i="13"/>
  <c r="J25" i="13"/>
  <c r="J26" i="13"/>
  <c r="J23" i="13"/>
  <c r="C24" i="13"/>
  <c r="C25" i="13"/>
  <c r="C26" i="13"/>
  <c r="C23" i="13"/>
  <c r="D24" i="13"/>
  <c r="D25" i="13"/>
  <c r="D26" i="13"/>
  <c r="D23" i="13"/>
  <c r="O3" i="13"/>
  <c r="O4" i="13"/>
  <c r="O5" i="13"/>
  <c r="O2" i="13"/>
  <c r="I3" i="13"/>
  <c r="I4" i="13"/>
  <c r="I5" i="13"/>
  <c r="I2" i="13"/>
  <c r="N24" i="13"/>
  <c r="N25" i="13"/>
  <c r="N26" i="13"/>
  <c r="N23" i="13"/>
  <c r="B24" i="13"/>
  <c r="T24" i="13" s="1"/>
  <c r="B25" i="13"/>
  <c r="T25" i="13" s="1"/>
  <c r="B26" i="13"/>
  <c r="T26" i="13" s="1"/>
  <c r="B23" i="13"/>
  <c r="T23" i="13" s="1"/>
  <c r="H24" i="13"/>
  <c r="H25" i="13"/>
  <c r="H26" i="13"/>
  <c r="H23" i="13"/>
  <c r="Q24" i="13"/>
  <c r="Q25" i="13"/>
  <c r="Q26" i="13"/>
  <c r="Q23" i="13"/>
  <c r="K24" i="13"/>
  <c r="K25" i="13"/>
  <c r="K26" i="13"/>
  <c r="K23" i="13"/>
  <c r="E24" i="13"/>
  <c r="E25" i="13"/>
  <c r="E26" i="13"/>
  <c r="E23" i="13"/>
  <c r="C3" i="13"/>
  <c r="C4" i="13"/>
  <c r="C5" i="13"/>
  <c r="C2" i="13"/>
  <c r="P3" i="13"/>
  <c r="P4" i="13"/>
  <c r="P5" i="13"/>
  <c r="P2" i="13"/>
  <c r="J3" i="13"/>
  <c r="J4" i="13"/>
  <c r="J5" i="13"/>
  <c r="J2" i="13"/>
  <c r="D3" i="13"/>
  <c r="D4" i="13"/>
  <c r="D5" i="13"/>
  <c r="D2" i="13"/>
  <c r="Q3" i="13"/>
  <c r="Q4" i="13"/>
  <c r="Q5" i="13"/>
  <c r="Q2" i="13"/>
  <c r="E3" i="13"/>
  <c r="E4" i="13"/>
  <c r="E5" i="13"/>
  <c r="E2" i="13"/>
  <c r="K3" i="13"/>
  <c r="K4" i="13"/>
  <c r="K5" i="13"/>
  <c r="K2" i="13"/>
  <c r="N5" i="13"/>
  <c r="N4" i="13"/>
  <c r="N3" i="13"/>
  <c r="N2" i="13"/>
  <c r="H5" i="13"/>
  <c r="H4" i="13"/>
  <c r="H3" i="13"/>
  <c r="B5" i="13"/>
  <c r="T5" i="13" s="1"/>
  <c r="Z5" i="13" s="1"/>
  <c r="B4" i="13"/>
  <c r="T4" i="13" s="1"/>
  <c r="Z4" i="13" s="1"/>
  <c r="B2" i="13"/>
  <c r="T2" i="13" s="1"/>
  <c r="Z2" i="13" s="1"/>
  <c r="B3" i="13"/>
  <c r="T3" i="13" s="1"/>
  <c r="Z3" i="13" s="1"/>
  <c r="H2" i="13"/>
  <c r="V19" i="13" l="1"/>
  <c r="AB19" i="13" s="1"/>
  <c r="U19" i="13"/>
  <c r="AA19" i="13" s="1"/>
  <c r="U18" i="13"/>
  <c r="AA18" i="13" s="1"/>
  <c r="U17" i="13"/>
  <c r="AA17" i="13" s="1"/>
  <c r="V18" i="13"/>
  <c r="AB18" i="13" s="1"/>
  <c r="V17" i="13"/>
  <c r="AB17" i="13" s="1"/>
  <c r="U16" i="13"/>
  <c r="AA16" i="13" s="1"/>
  <c r="V16" i="13"/>
  <c r="AB16" i="13" s="1"/>
  <c r="W16" i="13"/>
  <c r="AC16" i="13" s="1"/>
  <c r="W19" i="13"/>
  <c r="AC19" i="13" s="1"/>
  <c r="W18" i="13"/>
  <c r="AC18" i="13" s="1"/>
  <c r="W17" i="13"/>
  <c r="AC17" i="13" s="1"/>
  <c r="U2" i="13"/>
  <c r="AA2" i="13" s="1"/>
  <c r="U4" i="13"/>
  <c r="AA4" i="13" s="1"/>
  <c r="U3" i="13"/>
  <c r="AA3" i="13" s="1"/>
  <c r="U5" i="13"/>
  <c r="AA5" i="13" s="1"/>
  <c r="V4" i="13"/>
  <c r="AB4" i="13" s="1"/>
  <c r="V3" i="13"/>
  <c r="AB3" i="13" s="1"/>
  <c r="V2" i="13"/>
  <c r="AB2" i="13" s="1"/>
  <c r="V5" i="13"/>
  <c r="AB5" i="13" s="1"/>
  <c r="W2" i="13"/>
  <c r="AC2" i="13" s="1"/>
  <c r="W4" i="13"/>
  <c r="AC4" i="13" s="1"/>
  <c r="W26" i="13"/>
  <c r="W5" i="13"/>
  <c r="AC5" i="13" s="1"/>
  <c r="W3" i="13"/>
  <c r="AC3" i="13" s="1"/>
  <c r="W25" i="13"/>
  <c r="W24" i="13"/>
  <c r="W23" i="13"/>
  <c r="G62" i="6" l="1"/>
  <c r="L62" i="6" s="1"/>
  <c r="G56" i="6"/>
  <c r="L56" i="6" s="1"/>
  <c r="G50" i="6"/>
  <c r="G44" i="6"/>
  <c r="L44" i="6" s="1"/>
  <c r="G38" i="6"/>
  <c r="L38" i="6" s="1"/>
  <c r="G32" i="6"/>
  <c r="L32" i="6" s="1"/>
  <c r="E32" i="8" s="1"/>
  <c r="G26" i="6"/>
  <c r="L26" i="6" s="1"/>
  <c r="G20" i="6"/>
  <c r="L20" i="6" s="1"/>
  <c r="G14" i="6"/>
  <c r="L14" i="6" s="1"/>
  <c r="G8" i="6"/>
  <c r="G2" i="6"/>
  <c r="D2" i="6"/>
  <c r="K2" i="6" s="1"/>
  <c r="D8" i="6"/>
  <c r="D14" i="6"/>
  <c r="K14" i="6" s="1"/>
  <c r="D14" i="8" s="1"/>
  <c r="D20" i="6"/>
  <c r="K20" i="6" s="1"/>
  <c r="D20" i="8" s="1"/>
  <c r="D26" i="6"/>
  <c r="D32" i="6"/>
  <c r="D38" i="6"/>
  <c r="D44" i="6"/>
  <c r="K44" i="6" s="1"/>
  <c r="D50" i="6"/>
  <c r="D56" i="6"/>
  <c r="K56" i="6" s="1"/>
  <c r="D62" i="6"/>
  <c r="B62" i="6"/>
  <c r="B56" i="6"/>
  <c r="J56" i="6" s="1"/>
  <c r="B50" i="6"/>
  <c r="B44" i="6"/>
  <c r="B38" i="6"/>
  <c r="B32" i="6"/>
  <c r="B26" i="6"/>
  <c r="B20" i="6"/>
  <c r="B14" i="6"/>
  <c r="J14" i="6" s="1"/>
  <c r="B3" i="6"/>
  <c r="B4" i="6"/>
  <c r="B5" i="6"/>
  <c r="B6" i="6"/>
  <c r="B7" i="6"/>
  <c r="B8" i="6"/>
  <c r="B2" i="6"/>
  <c r="E6" i="8"/>
  <c r="E40" i="8"/>
  <c r="E45" i="8"/>
  <c r="L3" i="6"/>
  <c r="L4" i="6"/>
  <c r="L5" i="6"/>
  <c r="E5" i="8" s="1"/>
  <c r="L6" i="6"/>
  <c r="L7" i="6"/>
  <c r="L9" i="6"/>
  <c r="L10" i="6"/>
  <c r="L11" i="6"/>
  <c r="L12" i="6"/>
  <c r="L13" i="6"/>
  <c r="L15" i="6"/>
  <c r="E15" i="8" s="1"/>
  <c r="L16" i="6"/>
  <c r="L17" i="6"/>
  <c r="L18" i="6"/>
  <c r="L19" i="6"/>
  <c r="L21" i="6"/>
  <c r="L22" i="6"/>
  <c r="L23" i="6"/>
  <c r="L24" i="6"/>
  <c r="E24" i="8" s="1"/>
  <c r="L25" i="6"/>
  <c r="L27" i="6"/>
  <c r="L28" i="6"/>
  <c r="L29" i="6"/>
  <c r="L30" i="6"/>
  <c r="L31" i="6"/>
  <c r="L33" i="6"/>
  <c r="L34" i="6"/>
  <c r="L35" i="6"/>
  <c r="L36" i="6"/>
  <c r="L37" i="6"/>
  <c r="L39" i="6"/>
  <c r="L40" i="6"/>
  <c r="L41" i="6"/>
  <c r="L42" i="6"/>
  <c r="L43" i="6"/>
  <c r="E43" i="8" s="1"/>
  <c r="L45" i="6"/>
  <c r="L46" i="6"/>
  <c r="L47" i="6"/>
  <c r="L48" i="6"/>
  <c r="L49" i="6"/>
  <c r="L51" i="6"/>
  <c r="L52" i="6"/>
  <c r="L53" i="6"/>
  <c r="E53" i="8" s="1"/>
  <c r="L54" i="6"/>
  <c r="L55" i="6"/>
  <c r="L57" i="6"/>
  <c r="L58" i="6"/>
  <c r="L59" i="6"/>
  <c r="L60" i="6"/>
  <c r="L61" i="6"/>
  <c r="L63" i="6"/>
  <c r="E63" i="8" s="1"/>
  <c r="L64" i="6"/>
  <c r="L65" i="6"/>
  <c r="L66" i="6"/>
  <c r="L67" i="6"/>
  <c r="L50" i="6"/>
  <c r="L8" i="6"/>
  <c r="K62" i="6"/>
  <c r="K38" i="6"/>
  <c r="D38" i="8" s="1"/>
  <c r="K26" i="6"/>
  <c r="D26" i="8" s="1"/>
  <c r="K8" i="6"/>
  <c r="J62" i="6"/>
  <c r="J50" i="6"/>
  <c r="J44" i="6"/>
  <c r="J38" i="6"/>
  <c r="K3" i="6"/>
  <c r="K4" i="6"/>
  <c r="D4" i="8" s="1"/>
  <c r="K5" i="6"/>
  <c r="D5" i="8" s="1"/>
  <c r="K6" i="6"/>
  <c r="K7" i="6"/>
  <c r="K9" i="6"/>
  <c r="K10" i="6"/>
  <c r="K11" i="6"/>
  <c r="K12" i="6"/>
  <c r="K13" i="6"/>
  <c r="D13" i="8" s="1"/>
  <c r="K15" i="6"/>
  <c r="D15" i="8" s="1"/>
  <c r="K16" i="6"/>
  <c r="K17" i="6"/>
  <c r="K18" i="6"/>
  <c r="K19" i="6"/>
  <c r="K21" i="6"/>
  <c r="K22" i="6"/>
  <c r="K23" i="6"/>
  <c r="K24" i="6"/>
  <c r="K25" i="6"/>
  <c r="K27" i="6"/>
  <c r="K28" i="6"/>
  <c r="K29" i="6"/>
  <c r="K30" i="6"/>
  <c r="K31" i="6"/>
  <c r="K32" i="6"/>
  <c r="K33" i="6"/>
  <c r="D33" i="8" s="1"/>
  <c r="K34" i="6"/>
  <c r="K35" i="6"/>
  <c r="K36" i="6"/>
  <c r="K37" i="6"/>
  <c r="K39" i="6"/>
  <c r="K40" i="6"/>
  <c r="K41" i="6"/>
  <c r="D41" i="8" s="1"/>
  <c r="K42" i="6"/>
  <c r="D42" i="8" s="1"/>
  <c r="K43" i="6"/>
  <c r="K45" i="6"/>
  <c r="K46" i="6"/>
  <c r="K47" i="6"/>
  <c r="K48" i="6"/>
  <c r="K49" i="6"/>
  <c r="K50" i="6"/>
  <c r="D50" i="8" s="1"/>
  <c r="K51" i="6"/>
  <c r="D51" i="8" s="1"/>
  <c r="K52" i="6"/>
  <c r="K53" i="6"/>
  <c r="K54" i="6"/>
  <c r="K55" i="6"/>
  <c r="K57" i="6"/>
  <c r="K58" i="6"/>
  <c r="K59" i="6"/>
  <c r="D59" i="8" s="1"/>
  <c r="K60" i="6"/>
  <c r="D60" i="8" s="1"/>
  <c r="K61" i="6"/>
  <c r="K63" i="6"/>
  <c r="K64" i="6"/>
  <c r="K65" i="6"/>
  <c r="K66" i="6"/>
  <c r="K67" i="6"/>
  <c r="J9" i="6"/>
  <c r="C9" i="8" s="1"/>
  <c r="J10" i="6"/>
  <c r="C10" i="8" s="1"/>
  <c r="J11" i="6"/>
  <c r="J12" i="6"/>
  <c r="J13" i="6"/>
  <c r="J15" i="6"/>
  <c r="J16" i="6"/>
  <c r="J17" i="6"/>
  <c r="J18" i="6"/>
  <c r="C18" i="8" s="1"/>
  <c r="J19" i="6"/>
  <c r="C19" i="8" s="1"/>
  <c r="J21" i="6"/>
  <c r="J22" i="6"/>
  <c r="J23" i="6"/>
  <c r="J24" i="6"/>
  <c r="J25" i="6"/>
  <c r="J27" i="6"/>
  <c r="J28" i="6"/>
  <c r="C28" i="8" s="1"/>
  <c r="J29" i="6"/>
  <c r="C29" i="8" s="1"/>
  <c r="J30" i="6"/>
  <c r="J31" i="6"/>
  <c r="J33" i="6"/>
  <c r="J34" i="6"/>
  <c r="J35" i="6"/>
  <c r="J36" i="6"/>
  <c r="J37" i="6"/>
  <c r="J39" i="6"/>
  <c r="C39" i="8" s="1"/>
  <c r="J40" i="6"/>
  <c r="J41" i="6"/>
  <c r="J42" i="6"/>
  <c r="J43" i="6"/>
  <c r="J45" i="6"/>
  <c r="J46" i="6"/>
  <c r="J47" i="6"/>
  <c r="J48" i="6"/>
  <c r="C48" i="8" s="1"/>
  <c r="J49" i="6"/>
  <c r="J51" i="6"/>
  <c r="J52" i="6"/>
  <c r="J53" i="6"/>
  <c r="J54" i="6"/>
  <c r="J55" i="6"/>
  <c r="J57" i="6"/>
  <c r="C57" i="8" s="1"/>
  <c r="J58" i="6"/>
  <c r="C58" i="8" s="1"/>
  <c r="J59" i="6"/>
  <c r="J60" i="6"/>
  <c r="J61" i="6"/>
  <c r="J63" i="6"/>
  <c r="J64" i="6"/>
  <c r="J65" i="6"/>
  <c r="J66" i="6"/>
  <c r="C66" i="8" s="1"/>
  <c r="J67" i="6"/>
  <c r="C67" i="8" s="1"/>
  <c r="J3" i="12"/>
  <c r="J4" i="12"/>
  <c r="J5" i="12"/>
  <c r="J6" i="12"/>
  <c r="J7" i="12"/>
  <c r="J8" i="12"/>
  <c r="J9" i="12"/>
  <c r="J10" i="12"/>
  <c r="J11" i="12"/>
  <c r="E11" i="8" s="1"/>
  <c r="J12" i="12"/>
  <c r="J13" i="12"/>
  <c r="J14" i="12"/>
  <c r="J15" i="12"/>
  <c r="J16" i="12"/>
  <c r="E16" i="8" s="1"/>
  <c r="J17" i="12"/>
  <c r="J18" i="12"/>
  <c r="J19" i="12"/>
  <c r="J20" i="12"/>
  <c r="J21" i="12"/>
  <c r="E21" i="8" s="1"/>
  <c r="J22" i="12"/>
  <c r="J23" i="12"/>
  <c r="J24" i="12"/>
  <c r="J25" i="12"/>
  <c r="E25" i="8" s="1"/>
  <c r="J26" i="12"/>
  <c r="J27" i="12"/>
  <c r="J28" i="12"/>
  <c r="J29" i="12"/>
  <c r="J30" i="12"/>
  <c r="E30" i="8" s="1"/>
  <c r="J31" i="12"/>
  <c r="J32" i="12"/>
  <c r="J33" i="12"/>
  <c r="J34" i="12"/>
  <c r="J35" i="12"/>
  <c r="E35" i="8" s="1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E49" i="8" s="1"/>
  <c r="J50" i="12"/>
  <c r="J51" i="12"/>
  <c r="J52" i="12"/>
  <c r="J53" i="12"/>
  <c r="J54" i="12"/>
  <c r="E54" i="8" s="1"/>
  <c r="J55" i="12"/>
  <c r="J56" i="12"/>
  <c r="J57" i="12"/>
  <c r="J58" i="12"/>
  <c r="J59" i="12"/>
  <c r="E59" i="8" s="1"/>
  <c r="J60" i="12"/>
  <c r="J61" i="12"/>
  <c r="J62" i="12"/>
  <c r="J63" i="12"/>
  <c r="J64" i="12"/>
  <c r="E64" i="8" s="1"/>
  <c r="J65" i="12"/>
  <c r="J66" i="12"/>
  <c r="J67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2" i="12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2" i="9"/>
  <c r="U2" i="9"/>
  <c r="N16" i="8"/>
  <c r="N2" i="8"/>
  <c r="J32" i="6"/>
  <c r="C32" i="8" s="1"/>
  <c r="J26" i="6"/>
  <c r="C26" i="8" s="1"/>
  <c r="J20" i="6"/>
  <c r="C20" i="8" s="1"/>
  <c r="J3" i="6"/>
  <c r="C3" i="8" s="1"/>
  <c r="J4" i="6"/>
  <c r="C4" i="8" s="1"/>
  <c r="J5" i="6"/>
  <c r="J6" i="6"/>
  <c r="J7" i="6"/>
  <c r="J8" i="6"/>
  <c r="C8" i="8" s="1"/>
  <c r="L2" i="6"/>
  <c r="E2" i="8" s="1"/>
  <c r="J2" i="6"/>
  <c r="C2" i="8" s="1"/>
  <c r="C59" i="8" l="1"/>
  <c r="C49" i="8"/>
  <c r="C40" i="8"/>
  <c r="C30" i="8"/>
  <c r="C21" i="8"/>
  <c r="C11" i="8"/>
  <c r="D61" i="8"/>
  <c r="D52" i="8"/>
  <c r="D43" i="8"/>
  <c r="D34" i="8"/>
  <c r="D25" i="8"/>
  <c r="D16" i="8"/>
  <c r="D6" i="8"/>
  <c r="D8" i="8"/>
  <c r="E65" i="8"/>
  <c r="E55" i="8"/>
  <c r="E46" i="8"/>
  <c r="E36" i="8"/>
  <c r="E27" i="8"/>
  <c r="E17" i="8"/>
  <c r="E7" i="8"/>
  <c r="C56" i="8"/>
  <c r="E20" i="8"/>
  <c r="D24" i="8"/>
  <c r="E26" i="8"/>
  <c r="C47" i="8"/>
  <c r="D32" i="8"/>
  <c r="D23" i="8"/>
  <c r="C65" i="8"/>
  <c r="C55" i="8"/>
  <c r="C46" i="8"/>
  <c r="C36" i="8"/>
  <c r="C27" i="8"/>
  <c r="C17" i="8"/>
  <c r="D67" i="8"/>
  <c r="D58" i="8"/>
  <c r="D49" i="8"/>
  <c r="D40" i="8"/>
  <c r="D31" i="8"/>
  <c r="D22" i="8"/>
  <c r="D12" i="8"/>
  <c r="D3" i="8"/>
  <c r="D62" i="8"/>
  <c r="E61" i="8"/>
  <c r="E52" i="8"/>
  <c r="E42" i="8"/>
  <c r="E33" i="8"/>
  <c r="E23" i="8"/>
  <c r="E13" i="8"/>
  <c r="E4" i="8"/>
  <c r="D56" i="8"/>
  <c r="E38" i="8"/>
  <c r="C14" i="8"/>
  <c r="C37" i="8"/>
  <c r="C7" i="8"/>
  <c r="C64" i="8"/>
  <c r="C54" i="8"/>
  <c r="C45" i="8"/>
  <c r="C35" i="8"/>
  <c r="C25" i="8"/>
  <c r="C16" i="8"/>
  <c r="D66" i="8"/>
  <c r="D57" i="8"/>
  <c r="D48" i="8"/>
  <c r="D39" i="8"/>
  <c r="D30" i="8"/>
  <c r="D21" i="8"/>
  <c r="D11" i="8"/>
  <c r="C38" i="8"/>
  <c r="E8" i="8"/>
  <c r="E60" i="8"/>
  <c r="E51" i="8"/>
  <c r="E41" i="8"/>
  <c r="E31" i="8"/>
  <c r="E22" i="8"/>
  <c r="E12" i="8"/>
  <c r="E3" i="8"/>
  <c r="D2" i="8"/>
  <c r="E44" i="8"/>
  <c r="C63" i="8"/>
  <c r="C53" i="8"/>
  <c r="C43" i="8"/>
  <c r="C34" i="8"/>
  <c r="C24" i="8"/>
  <c r="C15" i="8"/>
  <c r="D65" i="8"/>
  <c r="D55" i="8"/>
  <c r="D47" i="8"/>
  <c r="D37" i="8"/>
  <c r="D29" i="8"/>
  <c r="D19" i="8"/>
  <c r="D10" i="8"/>
  <c r="C44" i="8"/>
  <c r="E50" i="8"/>
  <c r="D44" i="8"/>
  <c r="E34" i="8"/>
  <c r="C5" i="8"/>
  <c r="C61" i="8"/>
  <c r="C52" i="8"/>
  <c r="C42" i="8"/>
  <c r="C33" i="8"/>
  <c r="C23" i="8"/>
  <c r="C13" i="8"/>
  <c r="D64" i="8"/>
  <c r="D54" i="8"/>
  <c r="D46" i="8"/>
  <c r="D36" i="8"/>
  <c r="D28" i="8"/>
  <c r="D18" i="8"/>
  <c r="D9" i="8"/>
  <c r="C50" i="8"/>
  <c r="E67" i="8"/>
  <c r="E58" i="8"/>
  <c r="E48" i="8"/>
  <c r="E39" i="8"/>
  <c r="E29" i="8"/>
  <c r="E19" i="8"/>
  <c r="E10" i="8"/>
  <c r="E56" i="8"/>
  <c r="C6" i="8"/>
  <c r="C60" i="8"/>
  <c r="C51" i="8"/>
  <c r="C41" i="8"/>
  <c r="C31" i="8"/>
  <c r="C22" i="8"/>
  <c r="C12" i="8"/>
  <c r="D63" i="8"/>
  <c r="D53" i="8"/>
  <c r="D45" i="8"/>
  <c r="D35" i="8"/>
  <c r="D27" i="8"/>
  <c r="D17" i="8"/>
  <c r="D7" i="8"/>
  <c r="C62" i="8"/>
  <c r="E66" i="8"/>
  <c r="E57" i="8"/>
  <c r="E47" i="8"/>
  <c r="E37" i="8"/>
  <c r="E28" i="8"/>
  <c r="E18" i="8"/>
  <c r="E9" i="8"/>
  <c r="E14" i="8"/>
  <c r="E6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5F1F38-8856-2149-B8C8-9203FC9553DB}" name="quadrupoles" type="6" refreshedVersion="6" background="1" saveData="1">
    <textPr sourceFile="/Users/yhljason/research_mhg/output/quadrupoles.txt" comma="1">
      <textFields count="7">
        <textField type="text"/>
        <textField/>
        <textField/>
        <textField/>
        <textField/>
        <textField/>
        <textField/>
      </textFields>
    </textPr>
  </connection>
  <connection id="2" xr16:uid="{C2F009C2-2430-4DF9-9526-E8A3E21687A4}" keepAlive="1" name="Query - ccsdenergies" description="Connection to the 'ccsdenergies' query in the workbook." type="5" refreshedVersion="6" background="1">
    <dbPr connection="Provider=Microsoft.Mashup.OleDb.1;Data Source=$Workbook$;Location=ccsdenergies;Extended Properties=&quot;&quot;" command="SELECT * FROM [ccsdenergies]"/>
  </connection>
  <connection id="3" xr16:uid="{02CAE192-6CB8-4300-9E76-00C267D6BE69}" keepAlive="1" name="Query - ccsdenergies (2)" description="Connection to the 'ccsdenergies (2)' query in the workbook." type="5" refreshedVersion="6" background="1" saveData="1">
    <dbPr connection="Provider=Microsoft.Mashup.OleDb.1;Data Source=$Workbook$;Location=&quot;ccsdenergies (2)&quot;;Extended Properties=&quot;&quot;" command="SELECT * FROM [ccsdenergies (2)]"/>
  </connection>
  <connection id="4" xr16:uid="{FC2598AE-C0C1-4C5D-88C4-332FBACBAF9C}" keepAlive="1" name="Query - ccsdTenergies" description="Connection to the 'ccsdTenergies' query in the workbook." type="5" refreshedVersion="6" background="1">
    <dbPr connection="Provider=Microsoft.Mashup.OleDb.1;Data Source=$Workbook$;Location=ccsdTenergies;Extended Properties=&quot;&quot;" command="SELECT * FROM [ccsdTenergies]"/>
  </connection>
  <connection id="5" xr16:uid="{377E2C68-A537-429E-99D0-A25ED7F02CF9}" keepAlive="1" name="Query - dipoles" description="Connection to the 'dipoles' query in the workbook." type="5" refreshedVersion="6" background="1" saveData="1">
    <dbPr connection="Provider=Microsoft.Mashup.OleDb.1;Data Source=$Workbook$;Location=dipoles;Extended Properties=&quot;&quot;" command="SELECT * FROM [dipoles]"/>
  </connection>
  <connection id="6" xr16:uid="{432D212F-3E0D-4F6D-8600-F8472B63A1A8}" keepAlive="1" name="Query - dipoles (2)" description="Connection to the 'dipoles (2)' query in the workbook." type="5" refreshedVersion="0" background="1">
    <dbPr connection="Provider=Microsoft.Mashup.OleDb.1;Data Source=$Workbook$;Location=&quot;dipoles (2)&quot;;Extended Properties=&quot;&quot;" command="SELECT * FROM [dipoles (2)]"/>
  </connection>
  <connection id="7" xr16:uid="{1B9B5B96-6E9E-4A9E-9374-CFA7C5DBDCDC}" keepAlive="1" name="Query - dipoles (3)" description="Connection to the 'dipoles (3)' query in the workbook." type="5" refreshedVersion="6" background="1" saveData="1">
    <dbPr connection="Provider=Microsoft.Mashup.OleDb.1;Data Source=$Workbook$;Location=&quot;dipoles (3)&quot;;Extended Properties=&quot;&quot;" command="SELECT * FROM [dipoles (3)]"/>
  </connection>
  <connection id="8" xr16:uid="{D1974C24-182B-4F9E-915F-174B12CC7FFA}" keepAlive="1" name="Query - mp2energies" description="Connection to the 'mp2energies' query in the workbook." type="5" refreshedVersion="6" background="1" saveData="1">
    <dbPr connection="Provider=Microsoft.Mashup.OleDb.1;Data Source=$Workbook$;Location=mp2energies;Extended Properties=&quot;&quot;" command="SELECT * FROM [mp2energies]"/>
  </connection>
  <connection id="9" xr16:uid="{247A9134-874D-4D8D-A87E-556DD5C338A1}" keepAlive="1" name="Query - quadrupoles" description="Connection to the 'quadrupoles' query in the workbook." type="5" refreshedVersion="6" background="1">
    <dbPr connection="Provider=Microsoft.Mashup.OleDb.1;Data Source=$Workbook$;Location=quadrupoles;Extended Properties=&quot;&quot;" command="SELECT * FROM [quadrupoles]"/>
  </connection>
  <connection id="10" xr16:uid="{87275893-37C7-4899-B06E-044D9D9D2A12}" keepAlive="1" name="Query - quadrupoles (2)" description="Connection to the 'quadrupoles (2)' query in the workbook." type="5" refreshedVersion="6" background="1" saveData="1">
    <dbPr connection="Provider=Microsoft.Mashup.OleDb.1;Data Source=$Workbook$;Location=&quot;quadrupoles (2)&quot;;Extended Properties=&quot;&quot;" command="SELECT * FROM [quadrupoles (2)]"/>
  </connection>
  <connection id="11" xr16:uid="{3C0C0FE8-91F8-4334-8AEC-042AC0C7C5E5}" keepAlive="1" name="Query - quadrupoles (3)" description="Connection to the 'quadrupoles (3)' query in the workbook." type="5" refreshedVersion="6" background="1">
    <dbPr connection="Provider=Microsoft.Mashup.OleDb.1;Data Source=$Workbook$;Location=&quot;quadrupoles (3)&quot;;Extended Properties=&quot;&quot;" command="SELECT * FROM [quadrupoles (3)]"/>
  </connection>
  <connection id="12" xr16:uid="{F6DBC9E6-3618-47AA-AF9F-E15B53D459CA}" keepAlive="1" name="Query - quadrupoles (4)" description="Connection to the 'quadrupoles (4)' query in the workbook." type="5" refreshedVersion="6" background="1" saveData="1">
    <dbPr connection="Provider=Microsoft.Mashup.OleDb.1;Data Source=$Workbook$;Location=&quot;quadrupoles (4)&quot;;Extended Properties=&quot;&quot;" command="SELECT * FROM [quadrupoles (4)]"/>
  </connection>
  <connection id="13" xr16:uid="{3DB21EE9-B009-4C33-A088-A51450F71614}" keepAlive="1" name="Query - totalenergies" description="Connection to the 'totalenergies' query in the workbook." type="5" refreshedVersion="6" background="1" saveData="1">
    <dbPr connection="Provider=Microsoft.Mashup.OleDb.1;Data Source=$Workbook$;Location=totalenergies;Extended Properties=&quot;&quot;" command="SELECT * FROM [totalenergies]"/>
  </connection>
  <connection id="14" xr16:uid="{8FC275DF-3482-40C5-A828-6D54054D5C06}" keepAlive="1" name="Query - totalenergies (2)" description="Connection to the 'totalenergies (2)' query in the workbook." type="5" refreshedVersion="6" background="1">
    <dbPr connection="Provider=Microsoft.Mashup.OleDb.1;Data Source=$Workbook$;Location=&quot;totalenergies (2)&quot;;Extended Properties=&quot;&quot;" command="SELECT * FROM [totalenergies (2)]"/>
  </connection>
  <connection id="15" xr16:uid="{AF3BBE84-2548-49C7-918C-130930B65777}" keepAlive="1" name="Query - totalenergies (3)" description="Connection to the 'totalenergies (3)' query in the workbook." type="5" refreshedVersion="6" background="1">
    <dbPr connection="Provider=Microsoft.Mashup.OleDb.1;Data Source=$Workbook$;Location=&quot;totalenergies (3)&quot;;Extended Properties=&quot;&quot;" command="SELECT * FROM [totalenergies (3)]"/>
  </connection>
  <connection id="16" xr16:uid="{CAA5D025-AAFB-F143-869B-B17675A7BA13}" name="totalenergies" type="6" refreshedVersion="6" background="1" saveData="1">
    <textPr sourceFile="/Users/yhljason/research_mhg/output/totalenergies.txt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<sst xmlns="http://schemas.openxmlformats.org/spreadsheetml/2006/main" count="1054" uniqueCount="294">
  <si>
    <t>Conversion factor:</t>
  </si>
  <si>
    <t>C2H_ccsd</t>
  </si>
  <si>
    <t>C2H_pbe0</t>
  </si>
  <si>
    <t>C2H_pbe</t>
  </si>
  <si>
    <t>C2H_scan0</t>
  </si>
  <si>
    <t>C2H_scan</t>
  </si>
  <si>
    <t>C2H_spw92</t>
  </si>
  <si>
    <t>CH4_ccsd</t>
  </si>
  <si>
    <t>CH4_pbe0</t>
  </si>
  <si>
    <t>CH4_pbe</t>
  </si>
  <si>
    <t>CH4_scan0</t>
  </si>
  <si>
    <t>CH4_scan</t>
  </si>
  <si>
    <t>CH4_spw92</t>
  </si>
  <si>
    <t>CN_ccsd</t>
  </si>
  <si>
    <t>CN_pbe0</t>
  </si>
  <si>
    <t>CN_pbe</t>
  </si>
  <si>
    <t>CN_scan0</t>
  </si>
  <si>
    <t>CN_scan</t>
  </si>
  <si>
    <t>CN_spw92</t>
  </si>
  <si>
    <t>CO2_ccsd</t>
  </si>
  <si>
    <t>CO2_pbe0</t>
  </si>
  <si>
    <t>CO2_pbe</t>
  </si>
  <si>
    <t>CO2_scan0</t>
  </si>
  <si>
    <t>CO2_scan</t>
  </si>
  <si>
    <t>CO2_spw92</t>
  </si>
  <si>
    <t>CO_ccsd</t>
  </si>
  <si>
    <t>CO_pbe0</t>
  </si>
  <si>
    <t xml:space="preserve"> </t>
  </si>
  <si>
    <t>CO_pbe</t>
  </si>
  <si>
    <t>CO_scan0</t>
  </si>
  <si>
    <t>CO_scan</t>
  </si>
  <si>
    <t>CO_spw92</t>
  </si>
  <si>
    <t>H2O_ccsd</t>
  </si>
  <si>
    <t>H2O_pbe0</t>
  </si>
  <si>
    <t>H2O_pbe</t>
  </si>
  <si>
    <t>H2O_scan0</t>
  </si>
  <si>
    <t>H2O_scan</t>
  </si>
  <si>
    <t>H2O_spw92</t>
  </si>
  <si>
    <t>HCO_ccsd</t>
  </si>
  <si>
    <t>HCO_pbe0</t>
  </si>
  <si>
    <t>HCO_pbe</t>
  </si>
  <si>
    <t>HCO_scan0</t>
  </si>
  <si>
    <t>HCO_scan</t>
  </si>
  <si>
    <t>HCO_spw92</t>
  </si>
  <si>
    <t>HF_ccsd</t>
  </si>
  <si>
    <t>HF_pbe0</t>
  </si>
  <si>
    <t>HF_pbe</t>
  </si>
  <si>
    <t>HF_scan0</t>
  </si>
  <si>
    <t>HF_scan</t>
  </si>
  <si>
    <t>HF_spw92</t>
  </si>
  <si>
    <t>HO2_ccsd</t>
  </si>
  <si>
    <t>HO2_pbe0</t>
  </si>
  <si>
    <t>HO2_pbe</t>
  </si>
  <si>
    <t>HO2_scan0</t>
  </si>
  <si>
    <t>HO2_scan</t>
  </si>
  <si>
    <t>HO2_spw92</t>
  </si>
  <si>
    <t>N2_ccsd</t>
  </si>
  <si>
    <t>N2_pbe0</t>
  </si>
  <si>
    <t>N2_pbe</t>
  </si>
  <si>
    <t>N2_scan0</t>
  </si>
  <si>
    <t>N2_scan</t>
  </si>
  <si>
    <t>N2_spw92</t>
  </si>
  <si>
    <t>OH_ccsd</t>
  </si>
  <si>
    <t>OH_pbe0</t>
  </si>
  <si>
    <t>OH_pbe</t>
  </si>
  <si>
    <t>OH_scan0</t>
  </si>
  <si>
    <t>OH_scan</t>
  </si>
  <si>
    <t>OH_spw92</t>
  </si>
  <si>
    <t>0 field</t>
  </si>
  <si>
    <t>XX</t>
  </si>
  <si>
    <t>-XX</t>
  </si>
  <si>
    <t>YY</t>
  </si>
  <si>
    <t>-YY</t>
  </si>
  <si>
    <t>ZZ</t>
  </si>
  <si>
    <t>-ZZ</t>
  </si>
  <si>
    <t>XY</t>
  </si>
  <si>
    <t>XZ</t>
  </si>
  <si>
    <t>Y</t>
  </si>
  <si>
    <t>Z</t>
  </si>
  <si>
    <t>A to Bohr</t>
  </si>
  <si>
    <t>X</t>
  </si>
  <si>
    <t>ea0 to debye-ang</t>
  </si>
  <si>
    <t>debye to e</t>
  </si>
  <si>
    <t>Ang to bohr</t>
  </si>
  <si>
    <t>Ang2 to bohr2</t>
  </si>
  <si>
    <t>tot_e</t>
  </si>
  <si>
    <t/>
  </si>
  <si>
    <t xml:space="preserve"> 0.0000</t>
  </si>
  <si>
    <t xml:space="preserve"> -0.0000</t>
  </si>
  <si>
    <t xml:space="preserve"> 0.7553</t>
  </si>
  <si>
    <t xml:space="preserve"> 0.7654</t>
  </si>
  <si>
    <t xml:space="preserve"> 0.7451</t>
  </si>
  <si>
    <t xml:space="preserve"> 0.7502</t>
  </si>
  <si>
    <t xml:space="preserve"> 1.4805</t>
  </si>
  <si>
    <t xml:space="preserve"> 1.1524</t>
  </si>
  <si>
    <t xml:space="preserve"> 1.7024</t>
  </si>
  <si>
    <t xml:space="preserve"> 1.4404</t>
  </si>
  <si>
    <t xml:space="preserve"> 0.1018</t>
  </si>
  <si>
    <t xml:space="preserve"> 0.2239</t>
  </si>
  <si>
    <t xml:space="preserve"> 0.0322</t>
  </si>
  <si>
    <t xml:space="preserve"> 0.1318</t>
  </si>
  <si>
    <t xml:space="preserve"> 0.2290</t>
  </si>
  <si>
    <t xml:space="preserve"> -1.8579</t>
  </si>
  <si>
    <t xml:space="preserve"> 1.8579</t>
  </si>
  <si>
    <t xml:space="preserve"> -1.7949</t>
  </si>
  <si>
    <t xml:space="preserve"> 1.7949</t>
  </si>
  <si>
    <t xml:space="preserve"> -1.8853</t>
  </si>
  <si>
    <t xml:space="preserve"> 1.8853</t>
  </si>
  <si>
    <t xml:space="preserve"> -1.8396</t>
  </si>
  <si>
    <t xml:space="preserve"> 1.8396</t>
  </si>
  <si>
    <t xml:space="preserve"> 1.5806</t>
  </si>
  <si>
    <t xml:space="preserve"> -0.6828</t>
  </si>
  <si>
    <t xml:space="preserve"> 1.7218</t>
  </si>
  <si>
    <t xml:space="preserve"> 1.4661</t>
  </si>
  <si>
    <t xml:space="preserve"> -0.5192</t>
  </si>
  <si>
    <t xml:space="preserve"> 1.5553</t>
  </si>
  <si>
    <t xml:space="preserve"> 1.6305</t>
  </si>
  <si>
    <t xml:space="preserve"> -0.7889</t>
  </si>
  <si>
    <t xml:space="preserve"> 1.8113</t>
  </si>
  <si>
    <t xml:space="preserve"> 1.5452</t>
  </si>
  <si>
    <t xml:space="preserve"> -0.6563</t>
  </si>
  <si>
    <t xml:space="preserve"> 1.6788</t>
  </si>
  <si>
    <t xml:space="preserve"> 1.8030</t>
  </si>
  <si>
    <t xml:space="preserve"> 1.7460</t>
  </si>
  <si>
    <t xml:space="preserve"> 1.8332</t>
  </si>
  <si>
    <t xml:space="preserve"> 1.7918</t>
  </si>
  <si>
    <t xml:space="preserve"> -1.6710</t>
  </si>
  <si>
    <t xml:space="preserve"> -1.3683</t>
  </si>
  <si>
    <t xml:space="preserve"> 2.1598</t>
  </si>
  <si>
    <t xml:space="preserve"> -1.6261</t>
  </si>
  <si>
    <t xml:space="preserve"> -1.5059</t>
  </si>
  <si>
    <t xml:space="preserve"> 2.2163</t>
  </si>
  <si>
    <t xml:space="preserve"> -1.6871</t>
  </si>
  <si>
    <t xml:space="preserve"> -1.2683</t>
  </si>
  <si>
    <t xml:space="preserve"> 2.1107</t>
  </si>
  <si>
    <t xml:space="preserve"> -1.6531</t>
  </si>
  <si>
    <t xml:space="preserve"> -1.3727</t>
  </si>
  <si>
    <t xml:space="preserve"> 2.1487</t>
  </si>
  <si>
    <t xml:space="preserve"> -1.6489</t>
  </si>
  <si>
    <t xml:space="preserve"> 1.6489</t>
  </si>
  <si>
    <t xml:space="preserve"> -1.5939</t>
  </si>
  <si>
    <t xml:space="preserve"> 1.5939</t>
  </si>
  <si>
    <t xml:space="preserve"> -1.6797</t>
  </si>
  <si>
    <t xml:space="preserve"> 1.6797</t>
  </si>
  <si>
    <t xml:space="preserve"> -1.6419</t>
  </si>
  <si>
    <t xml:space="preserve"> 1.6419</t>
  </si>
  <si>
    <t>total</t>
  </si>
  <si>
    <t>molecule_method</t>
  </si>
  <si>
    <t>electronic part:</t>
  </si>
  <si>
    <t xml:space="preserve"> -10.2495</t>
  </si>
  <si>
    <t xml:space="preserve"> -12.1149</t>
  </si>
  <si>
    <t xml:space="preserve"> -10.3366</t>
  </si>
  <si>
    <t xml:space="preserve"> -12.0609</t>
  </si>
  <si>
    <t xml:space="preserve"> -10.1947</t>
  </si>
  <si>
    <t xml:space="preserve"> -12.1498</t>
  </si>
  <si>
    <t xml:space="preserve"> -10.2171</t>
  </si>
  <si>
    <t xml:space="preserve"> -12.0790</t>
  </si>
  <si>
    <t xml:space="preserve"> -10.3949</t>
  </si>
  <si>
    <t xml:space="preserve"> -12.0857</t>
  </si>
  <si>
    <t>step size</t>
  </si>
  <si>
    <t>Sorted:</t>
  </si>
  <si>
    <t>molecule_method_basis</t>
  </si>
  <si>
    <t>HF_ccsdT_5z</t>
  </si>
  <si>
    <t>HF_ccsdT_dz</t>
  </si>
  <si>
    <t>HF_ccsdT_qz</t>
  </si>
  <si>
    <t>HF_ccsdT_tz</t>
  </si>
  <si>
    <t>NH_ccsdT_5z</t>
  </si>
  <si>
    <t>NH_ccsdT_dz</t>
  </si>
  <si>
    <t>NH_ccsdT_qz</t>
  </si>
  <si>
    <t>NH_ccsdT_tz</t>
  </si>
  <si>
    <t>OH_ccsdT_5z</t>
  </si>
  <si>
    <t>OH_ccsdT_dz</t>
  </si>
  <si>
    <t>OH_ccsdT_qz</t>
  </si>
  <si>
    <t>OH_ccsdT_tz</t>
  </si>
  <si>
    <t>PH_ccsdT_5z</t>
  </si>
  <si>
    <t>PH_ccsdT_dz</t>
  </si>
  <si>
    <t>PH_ccsdT_qz</t>
  </si>
  <si>
    <t>PH_ccsdT_tz</t>
  </si>
  <si>
    <t>-Z</t>
  </si>
  <si>
    <t>ea0 to debye</t>
  </si>
  <si>
    <t>ea02 to debye-ang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</si>
  <si>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</si>
  <si>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</si>
  <si>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</si>
  <si>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</si>
  <si>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</si>
  <si>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</si>
  <si>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</si>
  <si>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</si>
  <si>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CCSD</t>
  </si>
  <si>
    <t>CCSD(T)</t>
  </si>
  <si>
    <t>MP2</t>
  </si>
  <si>
    <t>HF</t>
  </si>
  <si>
    <t>NH</t>
  </si>
  <si>
    <t>PH</t>
  </si>
  <si>
    <t>OH</t>
  </si>
  <si>
    <t>XX/5z</t>
  </si>
  <si>
    <t>XX/4z</t>
  </si>
  <si>
    <t>XX/3z</t>
  </si>
  <si>
    <t>XX/cbs</t>
  </si>
  <si>
    <t>HF_hf_5z</t>
  </si>
  <si>
    <t>HF_hf_dz</t>
  </si>
  <si>
    <t>HF_hf_qz</t>
  </si>
  <si>
    <t>HF_hf_tz</t>
  </si>
  <si>
    <t>NH_hf_5z</t>
  </si>
  <si>
    <t>NH_hf_dz</t>
  </si>
  <si>
    <t>NH_hf_qz</t>
  </si>
  <si>
    <t>NH_hf_tz</t>
  </si>
  <si>
    <t>OH_hf_5z</t>
  </si>
  <si>
    <t>OH_hf_dz</t>
  </si>
  <si>
    <t>OH_hf_qz</t>
  </si>
  <si>
    <t>OH_hf_tz</t>
  </si>
  <si>
    <t>PH_hf_5z</t>
  </si>
  <si>
    <t>PH_hf_dz</t>
  </si>
  <si>
    <t>PH_hf_qz</t>
  </si>
  <si>
    <t>PH_hf_tz</t>
  </si>
  <si>
    <t>YZ</t>
  </si>
  <si>
    <t>4z</t>
  </si>
  <si>
    <t>3z</t>
  </si>
  <si>
    <t>cbs</t>
  </si>
  <si>
    <t>Dipole/5z</t>
  </si>
  <si>
    <t>XX/r.e</t>
  </si>
  <si>
    <t>r.e</t>
  </si>
  <si>
    <t>ZZ/r.e</t>
  </si>
  <si>
    <t>ZZ/5z</t>
  </si>
  <si>
    <t>ZZ/4z</t>
  </si>
  <si>
    <t>ZZ/3z</t>
  </si>
  <si>
    <t>ZZ/cb2</t>
  </si>
  <si>
    <t>C2H_B97M-rV_aug-pc-4</t>
  </si>
  <si>
    <t>C2H_B97M-V_aug-pc-4</t>
  </si>
  <si>
    <t>C2H_M08-HX_aug-pc-4</t>
  </si>
  <si>
    <t>C2H_mPW91_aug-pc-4</t>
  </si>
  <si>
    <t>C2H_TPSS_aug-pc-4</t>
  </si>
  <si>
    <t>C2H_wB97M-V_aug-pc-4</t>
  </si>
  <si>
    <t>C2H_wB97X-D_aug-pc-4</t>
  </si>
  <si>
    <t>C2H_wB97X-V_aug-pc-4</t>
  </si>
  <si>
    <t>CN_B3LYP_aug-pc-4</t>
  </si>
  <si>
    <t>CN_B97M-rV_aug-pc-4</t>
  </si>
  <si>
    <t>CN_B97M-V_aug-pc-4</t>
  </si>
  <si>
    <t>CN_M08-HX_aug-pc-4</t>
  </si>
  <si>
    <t>CN_mPW91_aug-pc-4</t>
  </si>
  <si>
    <t>CN_TPSS_aug-pc-4</t>
  </si>
  <si>
    <t>CN_wB97M-V_aug-pc-4</t>
  </si>
  <si>
    <t>CN_wB97X-D_aug-pc-4</t>
  </si>
  <si>
    <t>CN_wB97X-V_aug-pc-4</t>
  </si>
  <si>
    <t>CO_B3LYP_aug-pc-4</t>
  </si>
  <si>
    <t>CO_B97M-rV_aug-pc-4</t>
  </si>
  <si>
    <t>CO_B97M-V_aug-pc-4</t>
  </si>
  <si>
    <t>CO_M08-HX_aug-pc-4</t>
  </si>
  <si>
    <t>CO_mPW91_aug-pc-4</t>
  </si>
  <si>
    <t>CO_TPSS_aug-pc-4</t>
  </si>
  <si>
    <t>CO_wB97M-V_aug-pc-4</t>
  </si>
  <si>
    <t>CO_wB97X-D_aug-pc-4</t>
  </si>
  <si>
    <t>CO_wB97X-V_aug-pc-4</t>
  </si>
  <si>
    <t>FCN_B3LYP_aug-pc-4</t>
  </si>
  <si>
    <t>FCN_B97M-V_aug-pc-4</t>
  </si>
  <si>
    <t>FCN_M08-HX_aug-pc-4</t>
  </si>
  <si>
    <t>FCN_mPW91_aug-pc-4</t>
  </si>
  <si>
    <t>FCN_TPSS_aug-pc-4</t>
  </si>
  <si>
    <t>FCN_wB97X-D_aug-pc-4</t>
  </si>
  <si>
    <t>FCN_wB97X-V_aug-pc-4</t>
  </si>
  <si>
    <t>HO2_B3LYP_aug-pc-4</t>
  </si>
  <si>
    <t>HO2_B97M-rV_aug-pc-4</t>
  </si>
  <si>
    <t>HO2_B97M-V_aug-pc-4</t>
  </si>
  <si>
    <t>HO2_M08-HX_aug-pc-4</t>
  </si>
  <si>
    <t>HO2_mPW91_aug-pc-4</t>
  </si>
  <si>
    <t>HO2_TPSS_aug-pc-4</t>
  </si>
  <si>
    <t>HO2_wB97M-V_aug-pc-4</t>
  </si>
  <si>
    <t>HO2_wB97X-D_aug-pc-4</t>
  </si>
  <si>
    <t>HO2_wB97X-V_aug-pc-4</t>
  </si>
  <si>
    <t>OF_B3LYP_aug-pc-4</t>
  </si>
  <si>
    <t>OF_B97M-V_aug-pc-4</t>
  </si>
  <si>
    <t>OF_M08-HX_aug-pc-4</t>
  </si>
  <si>
    <t>OF_mPW91_aug-pc-4</t>
  </si>
  <si>
    <t>OF_TPSS_aug-pc-4</t>
  </si>
  <si>
    <t>OF_wB97M-V_aug-pc-4</t>
  </si>
  <si>
    <t>OF_wB97X-D_aug-pc-4</t>
  </si>
  <si>
    <t>OF_wB97X-V_aug-pc-4</t>
  </si>
  <si>
    <t>OH_B97M-rV_aug-pc-4</t>
  </si>
  <si>
    <t>OH_B97M-V_aug-pc-4</t>
  </si>
  <si>
    <t>OH_M08-HX_aug-pc-4</t>
  </si>
  <si>
    <t>OH_mPW91_aug-pc-4</t>
  </si>
  <si>
    <t>OH_TPSS_aug-pc-4</t>
  </si>
  <si>
    <t>Molecule_aug-pc-4</t>
  </si>
  <si>
    <t>B97M-rV</t>
  </si>
  <si>
    <t>B97M-V</t>
  </si>
  <si>
    <t>M08-HX</t>
  </si>
  <si>
    <t>PBE0</t>
  </si>
  <si>
    <t>PBE</t>
  </si>
  <si>
    <t>SCAN0</t>
  </si>
  <si>
    <t>SPW92</t>
  </si>
  <si>
    <t>TPSS</t>
  </si>
  <si>
    <t>wB97M-V</t>
  </si>
  <si>
    <t>wB97X-V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</si>
</sst>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4" applyNumberFormat="0" applyAlignment="0" applyProtection="0"/>
  </cellStyleXfs>
  <cellXfs count="14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0" xfId="0" applyNumberFormat="1"/>
    <xf numFmtId="0" fontId="0" fillId="2" borderId="3" xfId="0" applyNumberFormat="1" applyFont="1" applyFill="1" applyBorder="1"/>
    <xf numFmtId="0" fontId="0" fillId="0" borderId="3" xfId="0" applyNumberFormat="1" applyFont="1" applyBorder="1"/>
    <xf numFmtId="0" fontId="2" fillId="3" borderId="0" xfId="1"/>
    <xf numFmtId="0" fontId="3" fillId="4" borderId="4" xfId="2"/>
    <xf numFmtId="0" fontId="3" fillId="4" borderId="4" xfId="2" applyNumberFormat="1"/>
    <xf numFmtId="0" fontId="0" fillId="0" borderId="0" xfId="0" applyFill="1"/>
  </cellXfs>
  <cellStyles count="3">
    <cellStyle name="Bad" xfId="1" builtinId="27"/>
    <cellStyle name="Input" xfId="2" builtinId="20"/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164" formatCode="0.00000000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uadrpoles_h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poles_hf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1F70F4C-3851-40B8-A4A0-FA6D3EFADE5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adrupoles" connectionId="1" xr16:uid="{C01EA748-C651-C44A-9A18-D15A2EC38D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energies" connectionId="16" xr16:uid="{D1FA8922-6E7F-9F41-84A1-FA04D5B79BD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68E10ED9-20B2-4259-8798-5615B8A4ADE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FE9A2CA4-2371-457E-BC00-14B5AC7BB2F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AE5F56B-7573-4453-8474-CB49AC1424B1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  <queryTableField id="8" dataBound="0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D333B9-6D9F-46F6-B9C4-E7CE10E1B5A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F3BA2D23-9609-4371-9737-942AB348AA4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FBA6018-EDF6-4FA9-B2EF-AE7411B7EF9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D185A-841C-491C-8A6F-53415A714098}" name="dipoles" displayName="dipoles" ref="A1:F67" tableType="queryTable" totalsRowShown="0" dataCellStyle="Normal">
  <autoFilter ref="A1:F67" xr:uid="{0381777F-6F74-46F1-8C3B-5429A46253D9}"/>
  <tableColumns count="6">
    <tableColumn id="1" xr3:uid="{9F9982E1-5E24-4661-B100-1BC637E745EC}" uniqueName="1" name="molecule_method" queryTableFieldId="1" dataCellStyle="Normal"/>
    <tableColumn id="2" xr3:uid="{91EEEEC0-7E1B-4882-921F-320FCF1CB0B6}" uniqueName="2" name="X" queryTableFieldId="2" dataCellStyle="Normal"/>
    <tableColumn id="3" xr3:uid="{9AC228F6-E928-4E39-A87C-0B828A8D213C}" uniqueName="3" name="Y" queryTableFieldId="3" dataCellStyle="Normal"/>
    <tableColumn id="4" xr3:uid="{4BC5B42A-CDB6-4190-B64D-9E4AC0CD3442}" uniqueName="4" name="Z" queryTableFieldId="4" dataCellStyle="Normal"/>
    <tableColumn id="5" xr3:uid="{5EADE152-FFE7-4654-9016-32262CA79116}" uniqueName="5" name="total" queryTableFieldId="5" dataCellStyle="Normal"/>
    <tableColumn id="6" xr3:uid="{7FE6DC4C-8FD6-4987-9EC1-D12B2D59D24D}" uniqueName="6" name="Column1" queryTableFieldId="6" dataCellStyle="Norm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5C5FCA-A89A-479C-801D-CAF2AD735CAE}" name="dipoles__3" displayName="dipoles__3" ref="A1:E17" tableType="queryTable" totalsRowShown="0">
  <autoFilter ref="A1:E17" xr:uid="{A87FE459-94FB-4F79-91E5-4277EE19594E}"/>
  <tableColumns count="5">
    <tableColumn id="1" xr3:uid="{4CB0D2CF-69C0-4090-9887-17E3635172BA}" uniqueName="1" name="Column1" queryTableFieldId="1" dataDxfId="12"/>
    <tableColumn id="2" xr3:uid="{F49D68FA-5C32-4A23-B61B-0EA0675B314E}" uniqueName="2" name="X" queryTableFieldId="2"/>
    <tableColumn id="3" xr3:uid="{CD58B8FE-1964-46C1-8D48-7FBF524A8515}" uniqueName="3" name="Y" queryTableFieldId="3"/>
    <tableColumn id="4" xr3:uid="{0C627D5A-60CF-4200-9978-EF5B57267C4C}" uniqueName="4" name="Z" queryTableFieldId="4"/>
    <tableColumn id="5" xr3:uid="{74CD37D9-0D83-4E1C-9E80-4A9C8F8291E6}" uniqueName="5" name="total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E9D2B2-B032-4DAA-BDCB-532781F5FB2B}" name="quadrupoles__2" displayName="quadrupoles__2" ref="A1:G17" tableType="queryTable" totalsRowShown="0">
  <autoFilter ref="A1:G17" xr:uid="{30E8BC04-BAFC-497E-9EAB-0E28B95B0AB7}"/>
  <tableColumns count="7">
    <tableColumn id="1" xr3:uid="{C2439B7F-954F-4A0B-918D-D9592A797649}" uniqueName="1" name="Column1" queryTableFieldId="1" dataDxfId="11"/>
    <tableColumn id="2" xr3:uid="{2A405823-68C2-444A-A9F9-85356F1B259D}" uniqueName="2" name="XX" queryTableFieldId="2"/>
    <tableColumn id="3" xr3:uid="{91C1ECBC-1EC6-4813-A8F2-97BCDD61B07F}" uniqueName="3" name="XY" queryTableFieldId="3"/>
    <tableColumn id="4" xr3:uid="{A3727430-7E1F-4F3D-8943-224DCCFA5562}" uniqueName="4" name="YY" queryTableFieldId="4"/>
    <tableColumn id="5" xr3:uid="{61AC8EE6-38D6-4C1D-A480-8C995C772F15}" uniqueName="5" name="XZ" queryTableFieldId="5"/>
    <tableColumn id="6" xr3:uid="{46931828-F706-4EC6-AE31-3C348A9598AC}" uniqueName="6" name="YZ" queryTableFieldId="6"/>
    <tableColumn id="7" xr3:uid="{2AE5DC9A-9065-4445-8B20-CA380C9A5B34}" uniqueName="7" name="ZZ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86FDD3-088E-4C5E-ADFA-BA691E95A684}" name="totalenergies" displayName="totalenergies_1" ref="A2:H18" tableType="queryTable" totalsRowShown="0">
  <autoFilter ref="A2:H18" xr:uid="{8C090970-03C1-41AB-80D8-CA9E61B2B212}"/>
  <tableColumns count="8">
    <tableColumn id="1" xr3:uid="{992DE68D-54AF-4D53-8730-2AD79DC77F6E}" uniqueName="1" name="molecule_method_basis" queryTableFieldId="1" dataDxfId="10"/>
    <tableColumn id="2" xr3:uid="{EBE0C37B-7FB0-4BCD-BAE6-C2CB32737A1C}" uniqueName="2" name="0 field" queryTableFieldId="2" dataDxfId="9"/>
    <tableColumn id="3" xr3:uid="{AB431FC4-9849-45BF-A6CD-81755AE22693}" uniqueName="3" name="XX" queryTableFieldId="3" dataDxfId="8"/>
    <tableColumn id="4" xr3:uid="{6C7DB2F4-CEAD-462B-AC7B-3CEB936CD473}" uniqueName="4" name="-XX" queryTableFieldId="4" dataDxfId="7"/>
    <tableColumn id="5" xr3:uid="{0EDF1F37-9AB9-4F7E-A5AF-4A4626C08892}" uniqueName="5" name="ZZ" queryTableFieldId="5" dataDxfId="6"/>
    <tableColumn id="6" xr3:uid="{50E61199-067E-434D-95D3-29835A4275DE}" uniqueName="6" name="-ZZ" queryTableFieldId="6" dataDxfId="5"/>
    <tableColumn id="7" xr3:uid="{40444CC4-157B-4C0B-AFE0-75FA7D33A7A4}" uniqueName="7" name="Z" queryTableFieldId="7" dataDxfId="4"/>
    <tableColumn id="8" xr3:uid="{442DFE81-329D-4905-BFF5-766A790A5492}" uniqueName="8" name="-Z" queryTableFieldId="8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8320E-AAE4-4F4B-934A-BB8779FB9979}" name="ccsdenergies5" displayName="ccsdenergies5" ref="A21:H37" tableType="queryTable" totalsRowShown="0">
  <autoFilter ref="A21:H37" xr:uid="{CB974A09-2327-46D5-8B7F-548A8B71285B}"/>
  <tableColumns count="8">
    <tableColumn id="1" xr3:uid="{9DD87CA6-5A5B-4DF3-ABE8-1CCD5FFB7653}" uniqueName="1" name="Column1" queryTableFieldId="1" dataDxfId="2"/>
    <tableColumn id="2" xr3:uid="{51E1C58B-7ABF-40C4-9EA2-66C736148784}" uniqueName="2" name="Column2" queryTableFieldId="2"/>
    <tableColumn id="3" xr3:uid="{D01990F7-53C9-4305-B7D2-B4DCFDBE279F}" uniqueName="3" name="Column3" queryTableFieldId="3"/>
    <tableColumn id="4" xr3:uid="{47369D86-B10C-453D-A266-A378CCD0D107}" uniqueName="4" name="Column4" queryTableFieldId="4"/>
    <tableColumn id="5" xr3:uid="{CDB8DC93-3342-4C71-AB72-833F8912CABE}" uniqueName="5" name="Column5" queryTableFieldId="5"/>
    <tableColumn id="6" xr3:uid="{37899806-16EC-44C7-985C-FEA8809D3111}" uniqueName="6" name="Column6" queryTableFieldId="6"/>
    <tableColumn id="7" xr3:uid="{459AACA1-4904-4075-AC59-9F93E50F88D7}" uniqueName="7" name="Column7" queryTableFieldId="7"/>
    <tableColumn id="8" xr3:uid="{D71CAF57-2AFA-4D4E-B8F1-66588FC8BBA9}" uniqueName="8" name="Column8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7A3A0E-3282-4FAD-A6EC-3BF5386E63F5}" name="mp2energies" displayName="mp2energies" ref="A40:H56" tableType="queryTable" totalsRowShown="0">
  <autoFilter ref="A40:H56" xr:uid="{14A6F1F6-7465-4A11-91AC-1939E0374CDF}"/>
  <tableColumns count="8">
    <tableColumn id="1" xr3:uid="{44B6C42B-467A-4228-A032-7FE101BC31EF}" uniqueName="1" name="Column1" queryTableFieldId="1" dataDxfId="1"/>
    <tableColumn id="2" xr3:uid="{AA45125D-48A8-439F-B2CC-C7D41C6FE06E}" uniqueName="2" name="Column2" queryTableFieldId="2"/>
    <tableColumn id="3" xr3:uid="{E49277FB-9650-492B-842C-40CD91D0552C}" uniqueName="3" name="Column3" queryTableFieldId="3"/>
    <tableColumn id="4" xr3:uid="{13E9BC6F-5A77-4854-B402-88311A68C480}" uniqueName="4" name="Column4" queryTableFieldId="4"/>
    <tableColumn id="5" xr3:uid="{C0FADBC5-68AA-4980-AC57-6CC881CB10A8}" uniqueName="5" name="Column5" queryTableFieldId="5"/>
    <tableColumn id="6" xr3:uid="{9CE9609D-534C-408B-BC11-2382ECB5EEB6}" uniqueName="6" name="Column6" queryTableFieldId="6"/>
    <tableColumn id="7" xr3:uid="{93A6DFE6-A72D-45C0-88D0-6D7C49EC571C}" uniqueName="7" name="Column7" queryTableFieldId="7"/>
    <tableColumn id="8" xr3:uid="{764F72E9-C0F0-4AED-92FA-00DDC570C8EA}" uniqueName="8" name="Column8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E4FBFC-4EEF-48D4-B9FF-298F0614D406}" name="quadrupoles__4" displayName="quadrupoles__4" ref="A1:G111" tableType="queryTable" totalsRowShown="0">
  <autoFilter ref="A1:G111" xr:uid="{DE9498C7-A9BB-464F-BEFC-0C4BC65865C9}"/>
  <tableColumns count="7">
    <tableColumn id="1" xr3:uid="{D685D086-9D53-4964-AC2D-7F8CBBBC6C12}" uniqueName="1" name="Column1" queryTableFieldId="1" dataDxfId="0"/>
    <tableColumn id="2" xr3:uid="{47FDAC8D-0FFC-42F2-96BE-3D4A7FDAECCD}" uniqueName="2" name="XX" queryTableFieldId="2"/>
    <tableColumn id="3" xr3:uid="{8C13A275-98D9-489E-BD36-FCAA73BD9AC5}" uniqueName="3" name="XY" queryTableFieldId="3"/>
    <tableColumn id="4" xr3:uid="{0E726DF8-1B35-494A-BE31-0C73DB655ABA}" uniqueName="4" name="YY" queryTableFieldId="4"/>
    <tableColumn id="5" xr3:uid="{D92E5056-A83A-4BC4-9D80-B6D7DBEAE03C}" uniqueName="5" name="XZ" queryTableFieldId="5"/>
    <tableColumn id="6" xr3:uid="{EBF3F8E2-BAC6-4B69-93AC-B87AD3A986C5}" uniqueName="6" name="YZ" queryTableFieldId="6"/>
    <tableColumn id="7" xr3:uid="{277DA883-3145-48E1-BE17-071A20799589}" uniqueName="7" name="ZZ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DF25-EB1A-433B-8D26-5F79C39291E8}">
  <dimension ref="A1:U67"/>
  <sheetViews>
    <sheetView tabSelected="1" workbookViewId="0">
      <selection activeCell="D2" sqref="D2"/>
    </sheetView>
  </sheetViews>
  <sheetFormatPr defaultRowHeight="15" x14ac:dyDescent="0.25"/>
  <cols>
    <col min="1" max="1" width="11.42578125" bestFit="1" customWidth="1"/>
    <col min="5" max="5" width="11" bestFit="1" customWidth="1"/>
    <col min="19" max="19" width="12.85546875" customWidth="1"/>
  </cols>
  <sheetData>
    <row r="1" spans="1:21" x14ac:dyDescent="0.25">
      <c r="B1" t="s">
        <v>80</v>
      </c>
      <c r="C1" t="s">
        <v>77</v>
      </c>
      <c r="D1" t="s">
        <v>78</v>
      </c>
      <c r="E1" t="s">
        <v>69</v>
      </c>
      <c r="F1" t="s">
        <v>71</v>
      </c>
      <c r="G1" t="s">
        <v>73</v>
      </c>
      <c r="S1" t="s">
        <v>83</v>
      </c>
      <c r="U1" t="s">
        <v>84</v>
      </c>
    </row>
    <row r="2" spans="1:21" x14ac:dyDescent="0.25">
      <c r="A2" t="s">
        <v>1</v>
      </c>
      <c r="B2">
        <f>K2*$S$2</f>
        <v>0</v>
      </c>
      <c r="C2">
        <f>L2*$S$2</f>
        <v>0</v>
      </c>
      <c r="D2">
        <f>M2*$S$2</f>
        <v>-11.815536824999979</v>
      </c>
      <c r="E2">
        <f>N2*$U$2</f>
        <v>0</v>
      </c>
      <c r="F2">
        <f>O2*$U$2</f>
        <v>0</v>
      </c>
      <c r="G2">
        <f>P2*$U$2</f>
        <v>35.619359917405994</v>
      </c>
      <c r="K2">
        <v>0</v>
      </c>
      <c r="L2">
        <v>0</v>
      </c>
      <c r="M2">
        <v>-6.2524999999999897</v>
      </c>
      <c r="N2">
        <v>0</v>
      </c>
      <c r="O2">
        <v>0</v>
      </c>
      <c r="P2">
        <v>9.9743957499999993</v>
      </c>
      <c r="S2">
        <v>1.8897299999999999</v>
      </c>
      <c r="U2">
        <f>S2^2</f>
        <v>3.5710794728999997</v>
      </c>
    </row>
    <row r="3" spans="1:21" x14ac:dyDescent="0.25">
      <c r="A3" t="s">
        <v>2</v>
      </c>
      <c r="B3">
        <f t="shared" ref="B3:B66" si="0">K3*$S$2</f>
        <v>0</v>
      </c>
      <c r="C3">
        <f t="shared" ref="C3:C66" si="1">L3*$S$2</f>
        <v>0</v>
      </c>
      <c r="D3">
        <f t="shared" ref="D3:D66" si="2">M3*$S$2</f>
        <v>-11.815536824999979</v>
      </c>
      <c r="E3">
        <f t="shared" ref="E3:E66" si="3">N3*$U$2</f>
        <v>0</v>
      </c>
      <c r="F3">
        <f t="shared" ref="F3:F66" si="4">O3*$U$2</f>
        <v>0</v>
      </c>
      <c r="G3">
        <f t="shared" ref="G3:G66" si="5">P3*$U$2</f>
        <v>35.619359917405994</v>
      </c>
      <c r="K3">
        <v>0</v>
      </c>
      <c r="L3">
        <v>0</v>
      </c>
      <c r="M3">
        <v>-6.2524999999999897</v>
      </c>
      <c r="N3">
        <v>0</v>
      </c>
      <c r="O3">
        <v>0</v>
      </c>
      <c r="P3">
        <v>9.9743957499999993</v>
      </c>
    </row>
    <row r="4" spans="1:21" x14ac:dyDescent="0.25">
      <c r="A4" t="s">
        <v>3</v>
      </c>
      <c r="B4">
        <f t="shared" si="0"/>
        <v>0</v>
      </c>
      <c r="C4">
        <f t="shared" si="1"/>
        <v>0</v>
      </c>
      <c r="D4">
        <f t="shared" si="2"/>
        <v>-11.815536824999979</v>
      </c>
      <c r="E4">
        <f t="shared" si="3"/>
        <v>0</v>
      </c>
      <c r="F4">
        <f t="shared" si="4"/>
        <v>0</v>
      </c>
      <c r="G4">
        <f t="shared" si="5"/>
        <v>35.619359917405994</v>
      </c>
      <c r="K4">
        <v>0</v>
      </c>
      <c r="L4">
        <v>0</v>
      </c>
      <c r="M4">
        <v>-6.2524999999999897</v>
      </c>
      <c r="N4">
        <v>0</v>
      </c>
      <c r="O4">
        <v>0</v>
      </c>
      <c r="P4">
        <v>9.9743957499999993</v>
      </c>
    </row>
    <row r="5" spans="1:21" x14ac:dyDescent="0.25">
      <c r="A5" t="s">
        <v>4</v>
      </c>
      <c r="B5">
        <f t="shared" si="0"/>
        <v>0</v>
      </c>
      <c r="C5">
        <f t="shared" si="1"/>
        <v>0</v>
      </c>
      <c r="D5">
        <f t="shared" si="2"/>
        <v>-11.815536824999979</v>
      </c>
      <c r="E5">
        <f t="shared" si="3"/>
        <v>0</v>
      </c>
      <c r="F5">
        <f t="shared" si="4"/>
        <v>0</v>
      </c>
      <c r="G5">
        <f t="shared" si="5"/>
        <v>35.619359917405994</v>
      </c>
      <c r="K5">
        <v>0</v>
      </c>
      <c r="L5">
        <v>0</v>
      </c>
      <c r="M5">
        <v>-6.2524999999999897</v>
      </c>
      <c r="N5">
        <v>0</v>
      </c>
      <c r="O5">
        <v>0</v>
      </c>
      <c r="P5">
        <v>9.9743957499999993</v>
      </c>
    </row>
    <row r="6" spans="1:21" x14ac:dyDescent="0.25">
      <c r="A6" t="s">
        <v>5</v>
      </c>
      <c r="B6">
        <f t="shared" si="0"/>
        <v>0</v>
      </c>
      <c r="C6">
        <f t="shared" si="1"/>
        <v>0</v>
      </c>
      <c r="D6">
        <f t="shared" si="2"/>
        <v>-11.815536824999979</v>
      </c>
      <c r="E6">
        <f t="shared" si="3"/>
        <v>0</v>
      </c>
      <c r="F6">
        <f t="shared" si="4"/>
        <v>0</v>
      </c>
      <c r="G6">
        <f t="shared" si="5"/>
        <v>35.619359917405994</v>
      </c>
      <c r="K6">
        <v>0</v>
      </c>
      <c r="L6">
        <v>0</v>
      </c>
      <c r="M6">
        <v>-6.2524999999999897</v>
      </c>
      <c r="N6">
        <v>0</v>
      </c>
      <c r="O6">
        <v>0</v>
      </c>
      <c r="P6">
        <v>9.9743957499999993</v>
      </c>
    </row>
    <row r="7" spans="1:21" x14ac:dyDescent="0.25">
      <c r="A7" t="s">
        <v>6</v>
      </c>
      <c r="B7">
        <f t="shared" si="0"/>
        <v>0</v>
      </c>
      <c r="C7">
        <f t="shared" si="1"/>
        <v>0</v>
      </c>
      <c r="D7">
        <f t="shared" si="2"/>
        <v>-11.815536824999979</v>
      </c>
      <c r="E7">
        <f t="shared" si="3"/>
        <v>0</v>
      </c>
      <c r="F7">
        <f t="shared" si="4"/>
        <v>0</v>
      </c>
      <c r="G7">
        <f t="shared" si="5"/>
        <v>35.619359917405994</v>
      </c>
      <c r="K7">
        <v>0</v>
      </c>
      <c r="L7">
        <v>0</v>
      </c>
      <c r="M7">
        <v>-6.2524999999999897</v>
      </c>
      <c r="N7">
        <v>0</v>
      </c>
      <c r="O7">
        <v>0</v>
      </c>
      <c r="P7">
        <v>9.9743957499999993</v>
      </c>
    </row>
    <row r="8" spans="1:21" x14ac:dyDescent="0.25">
      <c r="A8" t="s">
        <v>7</v>
      </c>
      <c r="B8">
        <f t="shared" si="0"/>
        <v>0</v>
      </c>
      <c r="C8">
        <f t="shared" si="1"/>
        <v>0</v>
      </c>
      <c r="D8">
        <f t="shared" si="2"/>
        <v>0</v>
      </c>
      <c r="E8">
        <f t="shared" si="3"/>
        <v>5.6263322715428972</v>
      </c>
      <c r="F8">
        <f t="shared" si="4"/>
        <v>5.6263322715428972</v>
      </c>
      <c r="G8">
        <f t="shared" si="5"/>
        <v>5.6263322715428972</v>
      </c>
      <c r="K8">
        <v>0</v>
      </c>
      <c r="L8">
        <v>0</v>
      </c>
      <c r="M8">
        <v>0</v>
      </c>
      <c r="N8">
        <v>1.5755270400000001</v>
      </c>
      <c r="O8">
        <v>1.5755270400000001</v>
      </c>
      <c r="P8">
        <v>1.5755270400000001</v>
      </c>
    </row>
    <row r="9" spans="1:21" x14ac:dyDescent="0.25">
      <c r="A9" t="s">
        <v>8</v>
      </c>
      <c r="B9">
        <f t="shared" si="0"/>
        <v>0</v>
      </c>
      <c r="C9">
        <f t="shared" si="1"/>
        <v>0</v>
      </c>
      <c r="D9">
        <f t="shared" si="2"/>
        <v>0</v>
      </c>
      <c r="E9">
        <f t="shared" si="3"/>
        <v>5.6263322715428972</v>
      </c>
      <c r="F9">
        <f t="shared" si="4"/>
        <v>5.6263322715428972</v>
      </c>
      <c r="G9">
        <f t="shared" si="5"/>
        <v>5.6263322715428972</v>
      </c>
      <c r="K9">
        <v>0</v>
      </c>
      <c r="L9">
        <v>0</v>
      </c>
      <c r="M9">
        <v>0</v>
      </c>
      <c r="N9">
        <v>1.5755270400000001</v>
      </c>
      <c r="O9">
        <v>1.5755270400000001</v>
      </c>
      <c r="P9">
        <v>1.5755270400000001</v>
      </c>
    </row>
    <row r="10" spans="1:21" x14ac:dyDescent="0.25">
      <c r="A10" t="s">
        <v>9</v>
      </c>
      <c r="B10">
        <f t="shared" si="0"/>
        <v>0</v>
      </c>
      <c r="C10">
        <f t="shared" si="1"/>
        <v>0</v>
      </c>
      <c r="D10">
        <f t="shared" si="2"/>
        <v>0</v>
      </c>
      <c r="E10">
        <f t="shared" si="3"/>
        <v>5.6263322715428972</v>
      </c>
      <c r="F10">
        <f t="shared" si="4"/>
        <v>5.6263322715428972</v>
      </c>
      <c r="G10">
        <f t="shared" si="5"/>
        <v>5.6263322715428972</v>
      </c>
      <c r="K10">
        <v>0</v>
      </c>
      <c r="L10">
        <v>0</v>
      </c>
      <c r="M10">
        <v>0</v>
      </c>
      <c r="N10">
        <v>1.5755270400000001</v>
      </c>
      <c r="O10">
        <v>1.5755270400000001</v>
      </c>
      <c r="P10">
        <v>1.5755270400000001</v>
      </c>
    </row>
    <row r="11" spans="1:21" x14ac:dyDescent="0.25">
      <c r="A11" t="s">
        <v>10</v>
      </c>
      <c r="B11">
        <f t="shared" si="0"/>
        <v>0</v>
      </c>
      <c r="C11">
        <f t="shared" si="1"/>
        <v>0</v>
      </c>
      <c r="D11">
        <f t="shared" si="2"/>
        <v>0</v>
      </c>
      <c r="E11">
        <f t="shared" si="3"/>
        <v>5.6263322715428972</v>
      </c>
      <c r="F11">
        <f t="shared" si="4"/>
        <v>5.6263322715428972</v>
      </c>
      <c r="G11">
        <f t="shared" si="5"/>
        <v>5.6263322715428972</v>
      </c>
      <c r="K11">
        <v>0</v>
      </c>
      <c r="L11">
        <v>0</v>
      </c>
      <c r="M11">
        <v>0</v>
      </c>
      <c r="N11">
        <v>1.5755270400000001</v>
      </c>
      <c r="O11">
        <v>1.5755270400000001</v>
      </c>
      <c r="P11">
        <v>1.5755270400000001</v>
      </c>
    </row>
    <row r="12" spans="1:21" x14ac:dyDescent="0.25">
      <c r="A12" t="s">
        <v>11</v>
      </c>
      <c r="B12">
        <f t="shared" si="0"/>
        <v>0</v>
      </c>
      <c r="C12">
        <f t="shared" si="1"/>
        <v>0</v>
      </c>
      <c r="D12">
        <f t="shared" si="2"/>
        <v>0</v>
      </c>
      <c r="E12">
        <f t="shared" si="3"/>
        <v>5.6263322715428972</v>
      </c>
      <c r="F12">
        <f t="shared" si="4"/>
        <v>5.6263322715428972</v>
      </c>
      <c r="G12">
        <f t="shared" si="5"/>
        <v>5.6263322715428972</v>
      </c>
      <c r="K12">
        <v>0</v>
      </c>
      <c r="L12">
        <v>0</v>
      </c>
      <c r="M12">
        <v>0</v>
      </c>
      <c r="N12">
        <v>1.5755270400000001</v>
      </c>
      <c r="O12">
        <v>1.5755270400000001</v>
      </c>
      <c r="P12">
        <v>1.5755270400000001</v>
      </c>
    </row>
    <row r="13" spans="1:21" x14ac:dyDescent="0.25">
      <c r="A13" t="s">
        <v>12</v>
      </c>
      <c r="B13">
        <f t="shared" si="0"/>
        <v>0</v>
      </c>
      <c r="C13">
        <f t="shared" si="1"/>
        <v>0</v>
      </c>
      <c r="D13">
        <f t="shared" si="2"/>
        <v>0</v>
      </c>
      <c r="E13">
        <f t="shared" si="3"/>
        <v>5.6263322715428972</v>
      </c>
      <c r="F13">
        <f t="shared" si="4"/>
        <v>5.6263322715428972</v>
      </c>
      <c r="G13">
        <f t="shared" si="5"/>
        <v>5.6263322715428972</v>
      </c>
      <c r="K13">
        <v>0</v>
      </c>
      <c r="L13">
        <v>0</v>
      </c>
      <c r="M13">
        <v>0</v>
      </c>
      <c r="N13">
        <v>1.5755270400000001</v>
      </c>
      <c r="O13">
        <v>1.5755270400000001</v>
      </c>
      <c r="P13">
        <v>1.5755270400000001</v>
      </c>
    </row>
    <row r="14" spans="1:21" x14ac:dyDescent="0.25">
      <c r="A14" t="s">
        <v>13</v>
      </c>
      <c r="B14">
        <f t="shared" si="0"/>
        <v>0</v>
      </c>
      <c r="C14">
        <f t="shared" si="1"/>
        <v>0</v>
      </c>
      <c r="D14">
        <f t="shared" si="2"/>
        <v>13.286313683999982</v>
      </c>
      <c r="E14">
        <f t="shared" si="3"/>
        <v>0</v>
      </c>
      <c r="F14">
        <f t="shared" si="4"/>
        <v>0</v>
      </c>
      <c r="G14">
        <f t="shared" si="5"/>
        <v>29.421021884940942</v>
      </c>
      <c r="K14">
        <v>0</v>
      </c>
      <c r="L14">
        <v>0</v>
      </c>
      <c r="M14">
        <v>7.0307999999999904</v>
      </c>
      <c r="N14">
        <v>0</v>
      </c>
      <c r="O14">
        <v>0</v>
      </c>
      <c r="P14">
        <v>8.2386914400000002</v>
      </c>
    </row>
    <row r="15" spans="1:21" x14ac:dyDescent="0.25">
      <c r="A15" t="s">
        <v>14</v>
      </c>
      <c r="B15">
        <f t="shared" si="0"/>
        <v>0</v>
      </c>
      <c r="C15">
        <f t="shared" si="1"/>
        <v>0</v>
      </c>
      <c r="D15">
        <f t="shared" si="2"/>
        <v>13.286313683999982</v>
      </c>
      <c r="E15">
        <f t="shared" si="3"/>
        <v>0</v>
      </c>
      <c r="F15">
        <f t="shared" si="4"/>
        <v>0</v>
      </c>
      <c r="G15">
        <f t="shared" si="5"/>
        <v>29.421021884940942</v>
      </c>
      <c r="K15">
        <v>0</v>
      </c>
      <c r="L15">
        <v>0</v>
      </c>
      <c r="M15">
        <v>7.0307999999999904</v>
      </c>
      <c r="N15">
        <v>0</v>
      </c>
      <c r="O15">
        <v>0</v>
      </c>
      <c r="P15">
        <v>8.2386914400000002</v>
      </c>
    </row>
    <row r="16" spans="1:21" x14ac:dyDescent="0.25">
      <c r="A16" t="s">
        <v>15</v>
      </c>
      <c r="B16">
        <f t="shared" si="0"/>
        <v>0</v>
      </c>
      <c r="C16">
        <f t="shared" si="1"/>
        <v>0</v>
      </c>
      <c r="D16">
        <f t="shared" si="2"/>
        <v>13.286313683999982</v>
      </c>
      <c r="E16">
        <f t="shared" si="3"/>
        <v>0</v>
      </c>
      <c r="F16">
        <f t="shared" si="4"/>
        <v>0</v>
      </c>
      <c r="G16">
        <f t="shared" si="5"/>
        <v>29.421021884940942</v>
      </c>
      <c r="K16">
        <v>0</v>
      </c>
      <c r="L16">
        <v>0</v>
      </c>
      <c r="M16">
        <v>7.0307999999999904</v>
      </c>
      <c r="N16">
        <v>0</v>
      </c>
      <c r="O16">
        <v>0</v>
      </c>
      <c r="P16">
        <v>8.2386914400000002</v>
      </c>
    </row>
    <row r="17" spans="1:16" x14ac:dyDescent="0.25">
      <c r="A17" t="s">
        <v>16</v>
      </c>
      <c r="B17">
        <f t="shared" si="0"/>
        <v>0</v>
      </c>
      <c r="C17">
        <f t="shared" si="1"/>
        <v>0</v>
      </c>
      <c r="D17">
        <f t="shared" si="2"/>
        <v>13.286313683999982</v>
      </c>
      <c r="E17">
        <f t="shared" si="3"/>
        <v>0</v>
      </c>
      <c r="F17">
        <f t="shared" si="4"/>
        <v>0</v>
      </c>
      <c r="G17">
        <f t="shared" si="5"/>
        <v>29.421021884940942</v>
      </c>
      <c r="K17">
        <v>0</v>
      </c>
      <c r="L17">
        <v>0</v>
      </c>
      <c r="M17">
        <v>7.0307999999999904</v>
      </c>
      <c r="N17">
        <v>0</v>
      </c>
      <c r="O17">
        <v>0</v>
      </c>
      <c r="P17">
        <v>8.2386914400000002</v>
      </c>
    </row>
    <row r="18" spans="1:16" x14ac:dyDescent="0.25">
      <c r="A18" t="s">
        <v>17</v>
      </c>
      <c r="B18">
        <f t="shared" si="0"/>
        <v>0</v>
      </c>
      <c r="C18">
        <f t="shared" si="1"/>
        <v>0</v>
      </c>
      <c r="D18">
        <f t="shared" si="2"/>
        <v>13.286313683999982</v>
      </c>
      <c r="E18">
        <f t="shared" si="3"/>
        <v>0</v>
      </c>
      <c r="F18">
        <f t="shared" si="4"/>
        <v>0</v>
      </c>
      <c r="G18">
        <f t="shared" si="5"/>
        <v>29.421021884940942</v>
      </c>
      <c r="K18">
        <v>0</v>
      </c>
      <c r="L18">
        <v>0</v>
      </c>
      <c r="M18">
        <v>7.0307999999999904</v>
      </c>
      <c r="N18">
        <v>0</v>
      </c>
      <c r="O18">
        <v>0</v>
      </c>
      <c r="P18">
        <v>8.2386914400000002</v>
      </c>
    </row>
    <row r="19" spans="1:16" x14ac:dyDescent="0.25">
      <c r="A19" t="s">
        <v>18</v>
      </c>
      <c r="B19">
        <f t="shared" si="0"/>
        <v>0</v>
      </c>
      <c r="C19">
        <f t="shared" si="1"/>
        <v>0</v>
      </c>
      <c r="D19">
        <f t="shared" si="2"/>
        <v>13.286313683999982</v>
      </c>
      <c r="E19">
        <f t="shared" si="3"/>
        <v>0</v>
      </c>
      <c r="F19">
        <f t="shared" si="4"/>
        <v>0</v>
      </c>
      <c r="G19">
        <f t="shared" si="5"/>
        <v>29.421021884940942</v>
      </c>
      <c r="K19">
        <v>0</v>
      </c>
      <c r="L19">
        <v>0</v>
      </c>
      <c r="M19">
        <v>7.0307999999999904</v>
      </c>
      <c r="N19">
        <v>0</v>
      </c>
      <c r="O19">
        <v>0</v>
      </c>
      <c r="P19">
        <v>8.2386914400000002</v>
      </c>
    </row>
    <row r="20" spans="1:16" x14ac:dyDescent="0.25">
      <c r="A20" t="s">
        <v>19</v>
      </c>
      <c r="B20">
        <f t="shared" si="0"/>
        <v>0</v>
      </c>
      <c r="C20">
        <f t="shared" si="1"/>
        <v>0</v>
      </c>
      <c r="D20">
        <f t="shared" si="2"/>
        <v>0</v>
      </c>
      <c r="E20">
        <f t="shared" si="3"/>
        <v>0</v>
      </c>
      <c r="F20">
        <f t="shared" si="4"/>
        <v>0</v>
      </c>
      <c r="G20">
        <f t="shared" si="5"/>
        <v>77.162537382186585</v>
      </c>
      <c r="K20">
        <v>0</v>
      </c>
      <c r="L20">
        <v>0</v>
      </c>
      <c r="M20">
        <v>0</v>
      </c>
      <c r="N20">
        <v>0</v>
      </c>
      <c r="O20">
        <v>0</v>
      </c>
      <c r="P20">
        <v>21.6076225599999</v>
      </c>
    </row>
    <row r="21" spans="1:16" x14ac:dyDescent="0.25">
      <c r="A21" t="s">
        <v>20</v>
      </c>
      <c r="B21">
        <f t="shared" si="0"/>
        <v>0</v>
      </c>
      <c r="C21">
        <f t="shared" si="1"/>
        <v>0</v>
      </c>
      <c r="D21">
        <f t="shared" si="2"/>
        <v>0</v>
      </c>
      <c r="E21">
        <f t="shared" si="3"/>
        <v>0</v>
      </c>
      <c r="F21">
        <f t="shared" si="4"/>
        <v>0</v>
      </c>
      <c r="G21">
        <f t="shared" si="5"/>
        <v>77.162537382186585</v>
      </c>
      <c r="K21">
        <v>0</v>
      </c>
      <c r="L21">
        <v>0</v>
      </c>
      <c r="M21">
        <v>0</v>
      </c>
      <c r="N21">
        <v>0</v>
      </c>
      <c r="O21">
        <v>0</v>
      </c>
      <c r="P21">
        <v>21.6076225599999</v>
      </c>
    </row>
    <row r="22" spans="1:16" x14ac:dyDescent="0.25">
      <c r="A22" t="s">
        <v>21</v>
      </c>
      <c r="B22">
        <f t="shared" si="0"/>
        <v>0</v>
      </c>
      <c r="C22">
        <f t="shared" si="1"/>
        <v>0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77.162537382186585</v>
      </c>
      <c r="K22">
        <v>0</v>
      </c>
      <c r="L22">
        <v>0</v>
      </c>
      <c r="M22">
        <v>0</v>
      </c>
      <c r="N22">
        <v>0</v>
      </c>
      <c r="O22">
        <v>0</v>
      </c>
      <c r="P22">
        <v>21.6076225599999</v>
      </c>
    </row>
    <row r="23" spans="1:16" x14ac:dyDescent="0.25">
      <c r="A23" t="s">
        <v>22</v>
      </c>
      <c r="B23">
        <f t="shared" si="0"/>
        <v>0</v>
      </c>
      <c r="C23">
        <f t="shared" si="1"/>
        <v>0</v>
      </c>
      <c r="D23">
        <f t="shared" si="2"/>
        <v>0</v>
      </c>
      <c r="E23">
        <f t="shared" si="3"/>
        <v>0</v>
      </c>
      <c r="F23">
        <f t="shared" si="4"/>
        <v>0</v>
      </c>
      <c r="G23">
        <f t="shared" si="5"/>
        <v>77.162537382186585</v>
      </c>
      <c r="K23">
        <v>0</v>
      </c>
      <c r="L23">
        <v>0</v>
      </c>
      <c r="M23">
        <v>0</v>
      </c>
      <c r="N23">
        <v>0</v>
      </c>
      <c r="O23">
        <v>0</v>
      </c>
      <c r="P23">
        <v>21.6076225599999</v>
      </c>
    </row>
    <row r="24" spans="1:16" x14ac:dyDescent="0.25">
      <c r="A24" t="s">
        <v>23</v>
      </c>
      <c r="B24">
        <f t="shared" si="0"/>
        <v>0</v>
      </c>
      <c r="C24">
        <f t="shared" si="1"/>
        <v>0</v>
      </c>
      <c r="D24">
        <f t="shared" si="2"/>
        <v>0</v>
      </c>
      <c r="E24">
        <f t="shared" si="3"/>
        <v>0</v>
      </c>
      <c r="F24">
        <f t="shared" si="4"/>
        <v>0</v>
      </c>
      <c r="G24">
        <f t="shared" si="5"/>
        <v>77.162537382186585</v>
      </c>
      <c r="K24">
        <v>0</v>
      </c>
      <c r="L24">
        <v>0</v>
      </c>
      <c r="M24">
        <v>0</v>
      </c>
      <c r="N24">
        <v>0</v>
      </c>
      <c r="O24">
        <v>0</v>
      </c>
      <c r="P24">
        <v>21.6076225599999</v>
      </c>
    </row>
    <row r="25" spans="1:16" x14ac:dyDescent="0.25">
      <c r="A25" t="s">
        <v>24</v>
      </c>
      <c r="B25">
        <f t="shared" si="0"/>
        <v>0</v>
      </c>
      <c r="C25">
        <f t="shared" si="1"/>
        <v>0</v>
      </c>
      <c r="D25">
        <f t="shared" si="2"/>
        <v>0</v>
      </c>
      <c r="E25">
        <f t="shared" si="3"/>
        <v>0</v>
      </c>
      <c r="F25">
        <f t="shared" si="4"/>
        <v>0</v>
      </c>
      <c r="G25">
        <f t="shared" si="5"/>
        <v>77.162537382186585</v>
      </c>
      <c r="K25">
        <v>0</v>
      </c>
      <c r="L25">
        <v>0</v>
      </c>
      <c r="M25">
        <v>0</v>
      </c>
      <c r="N25">
        <v>0</v>
      </c>
      <c r="O25">
        <v>0</v>
      </c>
      <c r="P25">
        <v>21.6076225599999</v>
      </c>
    </row>
    <row r="26" spans="1:16" x14ac:dyDescent="0.25">
      <c r="A26" t="s">
        <v>25</v>
      </c>
      <c r="B26">
        <f t="shared" si="0"/>
        <v>0</v>
      </c>
      <c r="C26">
        <f t="shared" si="1"/>
        <v>0</v>
      </c>
      <c r="D26">
        <f t="shared" si="2"/>
        <v>17.055947088</v>
      </c>
      <c r="E26">
        <f t="shared" si="3"/>
        <v>0</v>
      </c>
      <c r="F26">
        <f t="shared" si="4"/>
        <v>0</v>
      </c>
      <c r="G26">
        <f t="shared" si="5"/>
        <v>36.363166383581955</v>
      </c>
      <c r="K26">
        <v>0</v>
      </c>
      <c r="L26">
        <v>0</v>
      </c>
      <c r="M26">
        <v>9.0256000000000007</v>
      </c>
      <c r="N26">
        <v>0</v>
      </c>
      <c r="O26">
        <v>0</v>
      </c>
      <c r="P26">
        <v>10.18268192</v>
      </c>
    </row>
    <row r="27" spans="1:16" x14ac:dyDescent="0.25">
      <c r="A27" t="s">
        <v>26</v>
      </c>
      <c r="B27">
        <f t="shared" si="0"/>
        <v>0</v>
      </c>
      <c r="C27">
        <f t="shared" si="1"/>
        <v>0</v>
      </c>
      <c r="D27">
        <f t="shared" si="2"/>
        <v>17.055947088</v>
      </c>
      <c r="E27">
        <f t="shared" si="3"/>
        <v>0</v>
      </c>
      <c r="F27">
        <f t="shared" si="4"/>
        <v>0</v>
      </c>
      <c r="G27">
        <f t="shared" si="5"/>
        <v>36.363166383581955</v>
      </c>
      <c r="K27">
        <v>0</v>
      </c>
      <c r="L27">
        <v>0</v>
      </c>
      <c r="M27">
        <v>9.0256000000000007</v>
      </c>
      <c r="N27">
        <v>0</v>
      </c>
      <c r="O27">
        <v>0</v>
      </c>
      <c r="P27">
        <v>10.18268192</v>
      </c>
    </row>
    <row r="28" spans="1:16" x14ac:dyDescent="0.25">
      <c r="A28" t="s">
        <v>28</v>
      </c>
      <c r="B28">
        <f t="shared" si="0"/>
        <v>0</v>
      </c>
      <c r="C28">
        <f t="shared" si="1"/>
        <v>0</v>
      </c>
      <c r="D28">
        <f t="shared" si="2"/>
        <v>17.055947088</v>
      </c>
      <c r="E28">
        <f t="shared" si="3"/>
        <v>0</v>
      </c>
      <c r="F28">
        <f t="shared" si="4"/>
        <v>0</v>
      </c>
      <c r="G28">
        <f t="shared" si="5"/>
        <v>36.363166383581955</v>
      </c>
      <c r="K28">
        <v>0</v>
      </c>
      <c r="L28">
        <v>0</v>
      </c>
      <c r="M28">
        <v>9.0256000000000007</v>
      </c>
      <c r="N28">
        <v>0</v>
      </c>
      <c r="O28">
        <v>0</v>
      </c>
      <c r="P28">
        <v>10.18268192</v>
      </c>
    </row>
    <row r="29" spans="1:16" x14ac:dyDescent="0.25">
      <c r="A29" t="s">
        <v>29</v>
      </c>
      <c r="B29">
        <f t="shared" si="0"/>
        <v>0</v>
      </c>
      <c r="C29">
        <f t="shared" si="1"/>
        <v>0</v>
      </c>
      <c r="D29">
        <f t="shared" si="2"/>
        <v>17.055947088</v>
      </c>
      <c r="E29">
        <f t="shared" si="3"/>
        <v>0</v>
      </c>
      <c r="F29">
        <f t="shared" si="4"/>
        <v>0</v>
      </c>
      <c r="G29">
        <f t="shared" si="5"/>
        <v>36.363166383581955</v>
      </c>
      <c r="K29">
        <v>0</v>
      </c>
      <c r="L29">
        <v>0</v>
      </c>
      <c r="M29">
        <v>9.0256000000000007</v>
      </c>
      <c r="N29">
        <v>0</v>
      </c>
      <c r="O29">
        <v>0</v>
      </c>
      <c r="P29">
        <v>10.18268192</v>
      </c>
    </row>
    <row r="30" spans="1:16" x14ac:dyDescent="0.25">
      <c r="A30" t="s">
        <v>30</v>
      </c>
      <c r="B30">
        <f t="shared" si="0"/>
        <v>0</v>
      </c>
      <c r="C30">
        <f t="shared" si="1"/>
        <v>0</v>
      </c>
      <c r="D30">
        <f t="shared" si="2"/>
        <v>17.055947088</v>
      </c>
      <c r="E30">
        <f t="shared" si="3"/>
        <v>0</v>
      </c>
      <c r="F30">
        <f t="shared" si="4"/>
        <v>0</v>
      </c>
      <c r="G30">
        <f t="shared" si="5"/>
        <v>36.363166383581955</v>
      </c>
      <c r="K30">
        <v>0</v>
      </c>
      <c r="L30">
        <v>0</v>
      </c>
      <c r="M30">
        <v>9.0256000000000007</v>
      </c>
      <c r="N30">
        <v>0</v>
      </c>
      <c r="O30">
        <v>0</v>
      </c>
      <c r="P30">
        <v>10.18268192</v>
      </c>
    </row>
    <row r="31" spans="1:16" x14ac:dyDescent="0.25">
      <c r="A31" t="s">
        <v>31</v>
      </c>
      <c r="B31">
        <f t="shared" si="0"/>
        <v>0</v>
      </c>
      <c r="C31">
        <f t="shared" si="1"/>
        <v>0</v>
      </c>
      <c r="D31">
        <f t="shared" si="2"/>
        <v>17.055947088</v>
      </c>
      <c r="E31">
        <f t="shared" si="3"/>
        <v>0</v>
      </c>
      <c r="F31">
        <f t="shared" si="4"/>
        <v>0</v>
      </c>
      <c r="G31">
        <f t="shared" si="5"/>
        <v>36.363166383581955</v>
      </c>
      <c r="K31">
        <v>0</v>
      </c>
      <c r="L31">
        <v>0</v>
      </c>
      <c r="M31">
        <v>9.0256000000000007</v>
      </c>
      <c r="N31">
        <v>0</v>
      </c>
      <c r="O31">
        <v>0</v>
      </c>
      <c r="P31">
        <v>10.18268192</v>
      </c>
    </row>
    <row r="32" spans="1:16" x14ac:dyDescent="0.25">
      <c r="A32" t="s">
        <v>32</v>
      </c>
      <c r="B32">
        <f t="shared" si="0"/>
        <v>0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4.0949699731468892</v>
      </c>
      <c r="G32">
        <f t="shared" si="5"/>
        <v>1.9654207232271292</v>
      </c>
      <c r="K32">
        <v>0</v>
      </c>
      <c r="L32">
        <v>0</v>
      </c>
      <c r="M32">
        <v>0</v>
      </c>
      <c r="N32">
        <v>0</v>
      </c>
      <c r="O32">
        <v>1.1467036799999999</v>
      </c>
      <c r="P32">
        <v>0.55037159999999996</v>
      </c>
    </row>
    <row r="33" spans="1:16" x14ac:dyDescent="0.25">
      <c r="A33" t="s">
        <v>33</v>
      </c>
      <c r="B33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4.0949699731468892</v>
      </c>
      <c r="G33">
        <f t="shared" si="5"/>
        <v>1.9654207232271292</v>
      </c>
      <c r="K33">
        <v>0</v>
      </c>
      <c r="L33">
        <v>0</v>
      </c>
      <c r="M33">
        <v>0</v>
      </c>
      <c r="N33">
        <v>0</v>
      </c>
      <c r="O33">
        <v>1.1467036799999999</v>
      </c>
      <c r="P33">
        <v>0.55037159999999996</v>
      </c>
    </row>
    <row r="34" spans="1:16" x14ac:dyDescent="0.25">
      <c r="A34" t="s">
        <v>34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0</v>
      </c>
      <c r="F34">
        <f t="shared" si="4"/>
        <v>4.0949699731468892</v>
      </c>
      <c r="G34">
        <f t="shared" si="5"/>
        <v>1.9654207232271292</v>
      </c>
      <c r="K34">
        <v>0</v>
      </c>
      <c r="L34">
        <v>0</v>
      </c>
      <c r="M34">
        <v>0</v>
      </c>
      <c r="N34">
        <v>0</v>
      </c>
      <c r="O34">
        <v>1.1467036799999999</v>
      </c>
      <c r="P34">
        <v>0.55037159999999996</v>
      </c>
    </row>
    <row r="35" spans="1:16" x14ac:dyDescent="0.25">
      <c r="A35" t="s">
        <v>35</v>
      </c>
      <c r="B35">
        <f t="shared" si="0"/>
        <v>0</v>
      </c>
      <c r="C35">
        <f t="shared" si="1"/>
        <v>0</v>
      </c>
      <c r="D35">
        <f t="shared" si="2"/>
        <v>0</v>
      </c>
      <c r="E35">
        <f t="shared" si="3"/>
        <v>0</v>
      </c>
      <c r="F35">
        <f t="shared" si="4"/>
        <v>4.0949699731468892</v>
      </c>
      <c r="G35">
        <f t="shared" si="5"/>
        <v>1.9654207232271292</v>
      </c>
      <c r="K35">
        <v>0</v>
      </c>
      <c r="L35">
        <v>0</v>
      </c>
      <c r="M35">
        <v>0</v>
      </c>
      <c r="N35">
        <v>0</v>
      </c>
      <c r="O35">
        <v>1.1467036799999999</v>
      </c>
      <c r="P35">
        <v>0.55037159999999996</v>
      </c>
    </row>
    <row r="36" spans="1:16" x14ac:dyDescent="0.25">
      <c r="A36" t="s">
        <v>36</v>
      </c>
      <c r="B36">
        <f t="shared" si="0"/>
        <v>0</v>
      </c>
      <c r="C36">
        <f t="shared" si="1"/>
        <v>0</v>
      </c>
      <c r="D36">
        <f t="shared" si="2"/>
        <v>0</v>
      </c>
      <c r="E36">
        <f t="shared" si="3"/>
        <v>0</v>
      </c>
      <c r="F36">
        <f t="shared" si="4"/>
        <v>4.0949699731468892</v>
      </c>
      <c r="G36">
        <f t="shared" si="5"/>
        <v>1.9654207232271292</v>
      </c>
      <c r="K36">
        <v>0</v>
      </c>
      <c r="L36">
        <v>0</v>
      </c>
      <c r="M36">
        <v>0</v>
      </c>
      <c r="N36">
        <v>0</v>
      </c>
      <c r="O36">
        <v>1.1467036799999999</v>
      </c>
      <c r="P36">
        <v>0.55037159999999996</v>
      </c>
    </row>
    <row r="37" spans="1:16" x14ac:dyDescent="0.25">
      <c r="A37" t="s">
        <v>37</v>
      </c>
      <c r="B37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4.0949699731468892</v>
      </c>
      <c r="G37">
        <f t="shared" si="5"/>
        <v>1.9654207232271292</v>
      </c>
      <c r="K37">
        <v>0</v>
      </c>
      <c r="L37">
        <v>0</v>
      </c>
      <c r="M37">
        <v>0</v>
      </c>
      <c r="N37">
        <v>0</v>
      </c>
      <c r="O37">
        <v>1.1467036799999999</v>
      </c>
      <c r="P37">
        <v>0.55037159999999996</v>
      </c>
    </row>
    <row r="38" spans="1:16" x14ac:dyDescent="0.25">
      <c r="A38" t="s">
        <v>38</v>
      </c>
      <c r="B38">
        <f t="shared" si="0"/>
        <v>-6.8771054159999805</v>
      </c>
      <c r="C38">
        <f t="shared" si="1"/>
        <v>15.763371767999999</v>
      </c>
      <c r="D38">
        <f t="shared" si="2"/>
        <v>0</v>
      </c>
      <c r="E38">
        <f t="shared" si="3"/>
        <v>14.10667839998642</v>
      </c>
      <c r="F38">
        <f t="shared" si="4"/>
        <v>31.060486187022391</v>
      </c>
      <c r="G38">
        <f t="shared" si="5"/>
        <v>0</v>
      </c>
      <c r="K38">
        <v>-3.63919999999999</v>
      </c>
      <c r="L38">
        <v>8.3415999999999997</v>
      </c>
      <c r="M38">
        <v>0</v>
      </c>
      <c r="N38">
        <v>3.9502560799999999</v>
      </c>
      <c r="O38">
        <v>8.6977863199999899</v>
      </c>
      <c r="P38">
        <v>0</v>
      </c>
    </row>
    <row r="39" spans="1:16" x14ac:dyDescent="0.25">
      <c r="A39" t="s">
        <v>39</v>
      </c>
      <c r="B39">
        <f t="shared" si="0"/>
        <v>-6.8771054159999805</v>
      </c>
      <c r="C39">
        <f t="shared" si="1"/>
        <v>15.763371767999999</v>
      </c>
      <c r="D39">
        <f t="shared" si="2"/>
        <v>0</v>
      </c>
      <c r="E39">
        <f t="shared" si="3"/>
        <v>14.10667839998642</v>
      </c>
      <c r="F39">
        <f t="shared" si="4"/>
        <v>31.060486187022391</v>
      </c>
      <c r="G39">
        <f t="shared" si="5"/>
        <v>0</v>
      </c>
      <c r="K39">
        <v>-3.63919999999999</v>
      </c>
      <c r="L39">
        <v>8.3415999999999997</v>
      </c>
      <c r="M39">
        <v>0</v>
      </c>
      <c r="N39">
        <v>3.9502560799999999</v>
      </c>
      <c r="O39">
        <v>8.6977863199999899</v>
      </c>
      <c r="P39">
        <v>0</v>
      </c>
    </row>
    <row r="40" spans="1:16" x14ac:dyDescent="0.25">
      <c r="A40" t="s">
        <v>40</v>
      </c>
      <c r="B40">
        <f t="shared" si="0"/>
        <v>-6.8771054159999805</v>
      </c>
      <c r="C40">
        <f t="shared" si="1"/>
        <v>15.763371767999999</v>
      </c>
      <c r="D40">
        <f t="shared" si="2"/>
        <v>0</v>
      </c>
      <c r="E40">
        <f t="shared" si="3"/>
        <v>14.10667839998642</v>
      </c>
      <c r="F40">
        <f t="shared" si="4"/>
        <v>31.060486187022391</v>
      </c>
      <c r="G40">
        <f t="shared" si="5"/>
        <v>0</v>
      </c>
      <c r="K40">
        <v>-3.63919999999999</v>
      </c>
      <c r="L40">
        <v>8.3415999999999997</v>
      </c>
      <c r="M40">
        <v>0</v>
      </c>
      <c r="N40">
        <v>3.9502560799999999</v>
      </c>
      <c r="O40">
        <v>8.6977863199999899</v>
      </c>
      <c r="P40">
        <v>0</v>
      </c>
    </row>
    <row r="41" spans="1:16" x14ac:dyDescent="0.25">
      <c r="A41" t="s">
        <v>41</v>
      </c>
      <c r="B41">
        <f t="shared" si="0"/>
        <v>-6.8771054159999805</v>
      </c>
      <c r="C41">
        <f t="shared" si="1"/>
        <v>15.763371767999999</v>
      </c>
      <c r="D41">
        <f t="shared" si="2"/>
        <v>0</v>
      </c>
      <c r="E41">
        <f t="shared" si="3"/>
        <v>14.10667839998642</v>
      </c>
      <c r="F41">
        <f t="shared" si="4"/>
        <v>31.060486187022391</v>
      </c>
      <c r="G41">
        <f t="shared" si="5"/>
        <v>0</v>
      </c>
      <c r="K41">
        <v>-3.63919999999999</v>
      </c>
      <c r="L41">
        <v>8.3415999999999997</v>
      </c>
      <c r="M41">
        <v>0</v>
      </c>
      <c r="N41">
        <v>3.9502560799999999</v>
      </c>
      <c r="O41">
        <v>8.6977863199999899</v>
      </c>
      <c r="P41">
        <v>0</v>
      </c>
    </row>
    <row r="42" spans="1:16" x14ac:dyDescent="0.25">
      <c r="A42" t="s">
        <v>42</v>
      </c>
      <c r="B42">
        <f t="shared" si="0"/>
        <v>-6.8771054159999805</v>
      </c>
      <c r="C42">
        <f t="shared" si="1"/>
        <v>15.763371767999999</v>
      </c>
      <c r="D42">
        <f t="shared" si="2"/>
        <v>0</v>
      </c>
      <c r="E42">
        <f t="shared" si="3"/>
        <v>14.10667839998642</v>
      </c>
      <c r="F42">
        <f t="shared" si="4"/>
        <v>31.060486187022391</v>
      </c>
      <c r="G42">
        <f t="shared" si="5"/>
        <v>0</v>
      </c>
      <c r="K42">
        <v>-3.63919999999999</v>
      </c>
      <c r="L42">
        <v>8.3415999999999997</v>
      </c>
      <c r="M42">
        <v>0</v>
      </c>
      <c r="N42">
        <v>3.9502560799999999</v>
      </c>
      <c r="O42">
        <v>8.6977863199999899</v>
      </c>
      <c r="P42">
        <v>0</v>
      </c>
    </row>
    <row r="43" spans="1:16" x14ac:dyDescent="0.25">
      <c r="A43" t="s">
        <v>43</v>
      </c>
      <c r="B43">
        <f t="shared" si="0"/>
        <v>-6.8771054159999805</v>
      </c>
      <c r="C43">
        <f t="shared" si="1"/>
        <v>15.763371767999999</v>
      </c>
      <c r="D43">
        <f t="shared" si="2"/>
        <v>0</v>
      </c>
      <c r="E43">
        <f t="shared" si="3"/>
        <v>14.10667839998642</v>
      </c>
      <c r="F43">
        <f t="shared" si="4"/>
        <v>31.060486187022391</v>
      </c>
      <c r="G43">
        <f t="shared" si="5"/>
        <v>0</v>
      </c>
      <c r="K43">
        <v>-3.63919999999999</v>
      </c>
      <c r="L43">
        <v>8.3415999999999997</v>
      </c>
      <c r="M43">
        <v>0</v>
      </c>
      <c r="N43">
        <v>3.9502560799999999</v>
      </c>
      <c r="O43">
        <v>8.6977863199999899</v>
      </c>
      <c r="P43">
        <v>0</v>
      </c>
    </row>
    <row r="44" spans="1:16" x14ac:dyDescent="0.25">
      <c r="A44" t="s">
        <v>44</v>
      </c>
      <c r="B44">
        <f t="shared" si="0"/>
        <v>0</v>
      </c>
      <c r="C44">
        <f t="shared" si="1"/>
        <v>0</v>
      </c>
      <c r="D44">
        <f t="shared" si="2"/>
        <v>1.7325044639999998</v>
      </c>
      <c r="E44">
        <f t="shared" si="3"/>
        <v>0</v>
      </c>
      <c r="F44">
        <f t="shared" si="4"/>
        <v>0</v>
      </c>
      <c r="G44">
        <f t="shared" si="5"/>
        <v>3.0015717177799233</v>
      </c>
      <c r="K44">
        <v>0</v>
      </c>
      <c r="L44">
        <v>0</v>
      </c>
      <c r="M44">
        <v>0.91679999999999995</v>
      </c>
      <c r="N44">
        <v>0</v>
      </c>
      <c r="O44">
        <v>0</v>
      </c>
      <c r="P44">
        <v>0.84052223999999898</v>
      </c>
    </row>
    <row r="45" spans="1:16" x14ac:dyDescent="0.25">
      <c r="A45" t="s">
        <v>45</v>
      </c>
      <c r="B45">
        <f t="shared" si="0"/>
        <v>0</v>
      </c>
      <c r="C45">
        <f t="shared" si="1"/>
        <v>0</v>
      </c>
      <c r="D45">
        <f t="shared" si="2"/>
        <v>1.7325044639999998</v>
      </c>
      <c r="E45">
        <f t="shared" si="3"/>
        <v>0</v>
      </c>
      <c r="F45">
        <f t="shared" si="4"/>
        <v>0</v>
      </c>
      <c r="G45">
        <f t="shared" si="5"/>
        <v>3.0015717177799233</v>
      </c>
      <c r="K45">
        <v>0</v>
      </c>
      <c r="L45">
        <v>0</v>
      </c>
      <c r="M45">
        <v>0.91679999999999995</v>
      </c>
      <c r="N45">
        <v>0</v>
      </c>
      <c r="O45">
        <v>0</v>
      </c>
      <c r="P45">
        <v>0.84052223999999898</v>
      </c>
    </row>
    <row r="46" spans="1:16" x14ac:dyDescent="0.25">
      <c r="A46" t="s">
        <v>46</v>
      </c>
      <c r="B46">
        <f t="shared" si="0"/>
        <v>0</v>
      </c>
      <c r="C46">
        <f t="shared" si="1"/>
        <v>0</v>
      </c>
      <c r="D46">
        <f t="shared" si="2"/>
        <v>1.7325044639999998</v>
      </c>
      <c r="E46">
        <f t="shared" si="3"/>
        <v>0</v>
      </c>
      <c r="F46">
        <f t="shared" si="4"/>
        <v>0</v>
      </c>
      <c r="G46">
        <f t="shared" si="5"/>
        <v>3.0015717177799233</v>
      </c>
      <c r="K46">
        <v>0</v>
      </c>
      <c r="L46">
        <v>0</v>
      </c>
      <c r="M46">
        <v>0.91679999999999995</v>
      </c>
      <c r="N46">
        <v>0</v>
      </c>
      <c r="O46">
        <v>0</v>
      </c>
      <c r="P46">
        <v>0.84052223999999898</v>
      </c>
    </row>
    <row r="47" spans="1:16" x14ac:dyDescent="0.25">
      <c r="A47" t="s">
        <v>47</v>
      </c>
      <c r="B47">
        <f t="shared" si="0"/>
        <v>0</v>
      </c>
      <c r="C47">
        <f t="shared" si="1"/>
        <v>0</v>
      </c>
      <c r="D47">
        <f t="shared" si="2"/>
        <v>1.7325044639999998</v>
      </c>
      <c r="E47">
        <f t="shared" si="3"/>
        <v>0</v>
      </c>
      <c r="F47">
        <f t="shared" si="4"/>
        <v>0</v>
      </c>
      <c r="G47">
        <f t="shared" si="5"/>
        <v>3.0015717177799233</v>
      </c>
      <c r="K47">
        <v>0</v>
      </c>
      <c r="L47">
        <v>0</v>
      </c>
      <c r="M47">
        <v>0.91679999999999995</v>
      </c>
      <c r="N47">
        <v>0</v>
      </c>
      <c r="O47">
        <v>0</v>
      </c>
      <c r="P47">
        <v>0.84052223999999898</v>
      </c>
    </row>
    <row r="48" spans="1:16" x14ac:dyDescent="0.25">
      <c r="A48" t="s">
        <v>48</v>
      </c>
      <c r="B48">
        <f t="shared" si="0"/>
        <v>0</v>
      </c>
      <c r="C48">
        <f t="shared" si="1"/>
        <v>0</v>
      </c>
      <c r="D48">
        <f t="shared" si="2"/>
        <v>1.7325044639999998</v>
      </c>
      <c r="E48">
        <f t="shared" si="3"/>
        <v>0</v>
      </c>
      <c r="F48">
        <f t="shared" si="4"/>
        <v>0</v>
      </c>
      <c r="G48">
        <f t="shared" si="5"/>
        <v>3.0015717177799233</v>
      </c>
      <c r="K48">
        <v>0</v>
      </c>
      <c r="L48">
        <v>0</v>
      </c>
      <c r="M48">
        <v>0.91679999999999995</v>
      </c>
      <c r="N48">
        <v>0</v>
      </c>
      <c r="O48">
        <v>0</v>
      </c>
      <c r="P48">
        <v>0.84052223999999898</v>
      </c>
    </row>
    <row r="49" spans="1:16" x14ac:dyDescent="0.25">
      <c r="A49" t="s">
        <v>49</v>
      </c>
      <c r="B49">
        <f t="shared" si="0"/>
        <v>0</v>
      </c>
      <c r="C49">
        <f t="shared" si="1"/>
        <v>0</v>
      </c>
      <c r="D49">
        <f t="shared" si="2"/>
        <v>1.7325044639999998</v>
      </c>
      <c r="E49">
        <f t="shared" si="3"/>
        <v>0</v>
      </c>
      <c r="F49">
        <f t="shared" si="4"/>
        <v>0</v>
      </c>
      <c r="G49">
        <f t="shared" si="5"/>
        <v>3.0015717177799233</v>
      </c>
      <c r="K49">
        <v>0</v>
      </c>
      <c r="L49">
        <v>0</v>
      </c>
      <c r="M49">
        <v>0.91679999999999995</v>
      </c>
      <c r="N49">
        <v>0</v>
      </c>
      <c r="O49">
        <v>0</v>
      </c>
      <c r="P49">
        <v>0.84052223999999898</v>
      </c>
    </row>
    <row r="50" spans="1:16" x14ac:dyDescent="0.25">
      <c r="A50" t="s">
        <v>50</v>
      </c>
      <c r="B50">
        <f t="shared" si="0"/>
        <v>-9.448649999998941E-4</v>
      </c>
      <c r="C50">
        <f t="shared" si="1"/>
        <v>4.1960435126497885E-16</v>
      </c>
      <c r="D50">
        <f t="shared" si="2"/>
        <v>0</v>
      </c>
      <c r="E50">
        <f t="shared" si="3"/>
        <v>2.9735862035638534</v>
      </c>
      <c r="F50">
        <f t="shared" si="4"/>
        <v>28.141099292231786</v>
      </c>
      <c r="G50">
        <f t="shared" si="5"/>
        <v>0</v>
      </c>
      <c r="K50">
        <v>-4.9999999999994396E-4</v>
      </c>
      <c r="L50" s="2">
        <v>2.2204460492503101E-16</v>
      </c>
      <c r="M50">
        <v>0</v>
      </c>
      <c r="N50">
        <v>0.83268552999999901</v>
      </c>
      <c r="O50">
        <v>7.8802780799999903</v>
      </c>
      <c r="P50">
        <v>0</v>
      </c>
    </row>
    <row r="51" spans="1:16" x14ac:dyDescent="0.25">
      <c r="A51" t="s">
        <v>51</v>
      </c>
      <c r="B51">
        <f t="shared" si="0"/>
        <v>-9.448649999998941E-4</v>
      </c>
      <c r="C51">
        <f t="shared" si="1"/>
        <v>4.1960435126497885E-16</v>
      </c>
      <c r="D51">
        <f t="shared" si="2"/>
        <v>0</v>
      </c>
      <c r="E51">
        <f t="shared" si="3"/>
        <v>2.9735862035638534</v>
      </c>
      <c r="F51">
        <f t="shared" si="4"/>
        <v>28.141099292231786</v>
      </c>
      <c r="G51">
        <f t="shared" si="5"/>
        <v>0</v>
      </c>
      <c r="K51">
        <v>-4.9999999999994396E-4</v>
      </c>
      <c r="L51" s="2">
        <v>2.2204460492503101E-16</v>
      </c>
      <c r="M51">
        <v>0</v>
      </c>
      <c r="N51">
        <v>0.83268552999999901</v>
      </c>
      <c r="O51">
        <v>7.8802780799999903</v>
      </c>
      <c r="P51">
        <v>0</v>
      </c>
    </row>
    <row r="52" spans="1:16" x14ac:dyDescent="0.25">
      <c r="A52" t="s">
        <v>52</v>
      </c>
      <c r="B52">
        <f t="shared" si="0"/>
        <v>-9.448649999998941E-4</v>
      </c>
      <c r="C52">
        <f t="shared" si="1"/>
        <v>4.1960435126497885E-16</v>
      </c>
      <c r="D52">
        <f t="shared" si="2"/>
        <v>0</v>
      </c>
      <c r="E52">
        <f t="shared" si="3"/>
        <v>2.9735862035638534</v>
      </c>
      <c r="F52">
        <f t="shared" si="4"/>
        <v>28.141099292231786</v>
      </c>
      <c r="G52">
        <f t="shared" si="5"/>
        <v>0</v>
      </c>
      <c r="K52">
        <v>-4.9999999999994396E-4</v>
      </c>
      <c r="L52" s="2">
        <v>2.2204460492503101E-16</v>
      </c>
      <c r="M52">
        <v>0</v>
      </c>
      <c r="N52">
        <v>0.83268552999999901</v>
      </c>
      <c r="O52">
        <v>7.8802780799999903</v>
      </c>
      <c r="P52">
        <v>0</v>
      </c>
    </row>
    <row r="53" spans="1:16" x14ac:dyDescent="0.25">
      <c r="A53" t="s">
        <v>53</v>
      </c>
      <c r="B53">
        <f t="shared" si="0"/>
        <v>-9.448649999998941E-4</v>
      </c>
      <c r="C53">
        <f t="shared" si="1"/>
        <v>4.1960435126497885E-16</v>
      </c>
      <c r="D53">
        <f t="shared" si="2"/>
        <v>0</v>
      </c>
      <c r="E53">
        <f t="shared" si="3"/>
        <v>2.9735862035638534</v>
      </c>
      <c r="F53">
        <f t="shared" si="4"/>
        <v>28.141099292231786</v>
      </c>
      <c r="G53">
        <f t="shared" si="5"/>
        <v>0</v>
      </c>
      <c r="K53">
        <v>-4.9999999999994396E-4</v>
      </c>
      <c r="L53" s="2">
        <v>2.2204460492503101E-16</v>
      </c>
      <c r="M53">
        <v>0</v>
      </c>
      <c r="N53">
        <v>0.83268552999999901</v>
      </c>
      <c r="O53">
        <v>7.8802780799999903</v>
      </c>
      <c r="P53">
        <v>0</v>
      </c>
    </row>
    <row r="54" spans="1:16" x14ac:dyDescent="0.25">
      <c r="A54" t="s">
        <v>54</v>
      </c>
      <c r="B54">
        <f t="shared" si="0"/>
        <v>-9.448649999998941E-4</v>
      </c>
      <c r="C54">
        <f t="shared" si="1"/>
        <v>4.1960435126497885E-16</v>
      </c>
      <c r="D54">
        <f t="shared" si="2"/>
        <v>0</v>
      </c>
      <c r="E54">
        <f t="shared" si="3"/>
        <v>2.9735862035638534</v>
      </c>
      <c r="F54">
        <f t="shared" si="4"/>
        <v>28.141099292231786</v>
      </c>
      <c r="G54">
        <f t="shared" si="5"/>
        <v>0</v>
      </c>
      <c r="K54">
        <v>-4.9999999999994396E-4</v>
      </c>
      <c r="L54" s="2">
        <v>2.2204460492503101E-16</v>
      </c>
      <c r="M54">
        <v>0</v>
      </c>
      <c r="N54">
        <v>0.83268552999999901</v>
      </c>
      <c r="O54">
        <v>7.8802780799999903</v>
      </c>
      <c r="P54">
        <v>0</v>
      </c>
    </row>
    <row r="55" spans="1:16" x14ac:dyDescent="0.25">
      <c r="A55" t="s">
        <v>55</v>
      </c>
      <c r="B55">
        <f t="shared" si="0"/>
        <v>-9.448649999998941E-4</v>
      </c>
      <c r="C55">
        <f t="shared" si="1"/>
        <v>4.1960435126497885E-16</v>
      </c>
      <c r="D55">
        <f t="shared" si="2"/>
        <v>0</v>
      </c>
      <c r="E55">
        <f t="shared" si="3"/>
        <v>2.9735862035638534</v>
      </c>
      <c r="F55">
        <f t="shared" si="4"/>
        <v>28.141099292231786</v>
      </c>
      <c r="G55">
        <f t="shared" si="5"/>
        <v>0</v>
      </c>
      <c r="K55">
        <v>-4.9999999999994396E-4</v>
      </c>
      <c r="L55" s="2">
        <v>2.2204460492503101E-16</v>
      </c>
      <c r="M55">
        <v>0</v>
      </c>
      <c r="N55">
        <v>0.83268552999999901</v>
      </c>
      <c r="O55">
        <v>7.8802780799999903</v>
      </c>
      <c r="P55">
        <v>0</v>
      </c>
    </row>
    <row r="56" spans="1:16" x14ac:dyDescent="0.25">
      <c r="A56" t="s">
        <v>56</v>
      </c>
      <c r="B56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  <c r="F56">
        <f t="shared" si="4"/>
        <v>0</v>
      </c>
      <c r="G56">
        <f t="shared" si="5"/>
        <v>15.057600012034445</v>
      </c>
      <c r="K56">
        <v>0</v>
      </c>
      <c r="L56">
        <v>0</v>
      </c>
      <c r="M56">
        <v>0</v>
      </c>
      <c r="N56">
        <v>0</v>
      </c>
      <c r="O56">
        <v>0</v>
      </c>
      <c r="P56">
        <v>4.2165401599999903</v>
      </c>
    </row>
    <row r="57" spans="1:16" x14ac:dyDescent="0.25">
      <c r="A57" t="s">
        <v>57</v>
      </c>
      <c r="B57">
        <f t="shared" si="0"/>
        <v>0</v>
      </c>
      <c r="C57">
        <f t="shared" si="1"/>
        <v>0</v>
      </c>
      <c r="D57">
        <f t="shared" si="2"/>
        <v>0</v>
      </c>
      <c r="E57">
        <f t="shared" si="3"/>
        <v>0</v>
      </c>
      <c r="F57">
        <f t="shared" si="4"/>
        <v>0</v>
      </c>
      <c r="G57">
        <f t="shared" si="5"/>
        <v>15.057600012034445</v>
      </c>
      <c r="K57">
        <v>0</v>
      </c>
      <c r="L57">
        <v>0</v>
      </c>
      <c r="M57">
        <v>0</v>
      </c>
      <c r="N57">
        <v>0</v>
      </c>
      <c r="O57">
        <v>0</v>
      </c>
      <c r="P57">
        <v>4.2165401599999903</v>
      </c>
    </row>
    <row r="58" spans="1:16" x14ac:dyDescent="0.25">
      <c r="A58" t="s">
        <v>58</v>
      </c>
      <c r="B58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F58">
        <f t="shared" si="4"/>
        <v>0</v>
      </c>
      <c r="G58">
        <f t="shared" si="5"/>
        <v>15.057600012034445</v>
      </c>
      <c r="K58">
        <v>0</v>
      </c>
      <c r="L58">
        <v>0</v>
      </c>
      <c r="M58">
        <v>0</v>
      </c>
      <c r="N58">
        <v>0</v>
      </c>
      <c r="O58">
        <v>0</v>
      </c>
      <c r="P58">
        <v>4.2165401599999903</v>
      </c>
    </row>
    <row r="59" spans="1:16" x14ac:dyDescent="0.25">
      <c r="A59" t="s">
        <v>59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0</v>
      </c>
      <c r="F59">
        <f t="shared" si="4"/>
        <v>0</v>
      </c>
      <c r="G59">
        <f t="shared" si="5"/>
        <v>15.057600012034445</v>
      </c>
      <c r="K59">
        <v>0</v>
      </c>
      <c r="L59">
        <v>0</v>
      </c>
      <c r="M59">
        <v>0</v>
      </c>
      <c r="N59">
        <v>0</v>
      </c>
      <c r="O59">
        <v>0</v>
      </c>
      <c r="P59">
        <v>4.2165401599999903</v>
      </c>
    </row>
    <row r="60" spans="1:16" x14ac:dyDescent="0.25">
      <c r="A60" t="s">
        <v>60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0</v>
      </c>
      <c r="F60">
        <f t="shared" si="4"/>
        <v>0</v>
      </c>
      <c r="G60">
        <f t="shared" si="5"/>
        <v>15.057600012034445</v>
      </c>
      <c r="K60">
        <v>0</v>
      </c>
      <c r="L60">
        <v>0</v>
      </c>
      <c r="M60">
        <v>0</v>
      </c>
      <c r="N60">
        <v>0</v>
      </c>
      <c r="O60">
        <v>0</v>
      </c>
      <c r="P60">
        <v>4.2165401599999903</v>
      </c>
    </row>
    <row r="61" spans="1:16" x14ac:dyDescent="0.25">
      <c r="A61" t="s">
        <v>61</v>
      </c>
      <c r="B6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F61">
        <f t="shared" si="4"/>
        <v>0</v>
      </c>
      <c r="G61">
        <f t="shared" si="5"/>
        <v>15.057600012034445</v>
      </c>
      <c r="K61">
        <v>0</v>
      </c>
      <c r="L61">
        <v>0</v>
      </c>
      <c r="M61">
        <v>0</v>
      </c>
      <c r="N61">
        <v>0</v>
      </c>
      <c r="O61">
        <v>0</v>
      </c>
      <c r="P61">
        <v>4.2165401599999903</v>
      </c>
    </row>
    <row r="62" spans="1:16" x14ac:dyDescent="0.25">
      <c r="A62" t="s">
        <v>62</v>
      </c>
      <c r="B62">
        <f t="shared" si="0"/>
        <v>0</v>
      </c>
      <c r="C62">
        <f t="shared" si="1"/>
        <v>0</v>
      </c>
      <c r="D62">
        <f t="shared" si="2"/>
        <v>14.659769447999999</v>
      </c>
      <c r="E62">
        <f t="shared" si="3"/>
        <v>0</v>
      </c>
      <c r="F62">
        <f t="shared" si="4"/>
        <v>0</v>
      </c>
      <c r="G62">
        <f t="shared" si="5"/>
        <v>26.863605033564276</v>
      </c>
      <c r="K62">
        <v>0</v>
      </c>
      <c r="L62">
        <v>0</v>
      </c>
      <c r="M62">
        <v>7.7576000000000001</v>
      </c>
      <c r="N62">
        <v>0</v>
      </c>
      <c r="O62">
        <v>0</v>
      </c>
      <c r="P62">
        <v>7.52254472</v>
      </c>
    </row>
    <row r="63" spans="1:16" x14ac:dyDescent="0.25">
      <c r="A63" t="s">
        <v>63</v>
      </c>
      <c r="B63">
        <f t="shared" si="0"/>
        <v>0</v>
      </c>
      <c r="C63">
        <f t="shared" si="1"/>
        <v>0</v>
      </c>
      <c r="D63">
        <f t="shared" si="2"/>
        <v>14.659769447999999</v>
      </c>
      <c r="E63">
        <f t="shared" si="3"/>
        <v>0</v>
      </c>
      <c r="F63">
        <f t="shared" si="4"/>
        <v>0</v>
      </c>
      <c r="G63">
        <f t="shared" si="5"/>
        <v>26.863605033564276</v>
      </c>
      <c r="K63">
        <v>0</v>
      </c>
      <c r="L63">
        <v>0</v>
      </c>
      <c r="M63">
        <v>7.7576000000000001</v>
      </c>
      <c r="N63">
        <v>0</v>
      </c>
      <c r="O63">
        <v>0</v>
      </c>
      <c r="P63">
        <v>7.52254472</v>
      </c>
    </row>
    <row r="64" spans="1:16" x14ac:dyDescent="0.25">
      <c r="A64" t="s">
        <v>64</v>
      </c>
      <c r="B64">
        <f t="shared" si="0"/>
        <v>0</v>
      </c>
      <c r="C64">
        <f t="shared" si="1"/>
        <v>0</v>
      </c>
      <c r="D64">
        <f t="shared" si="2"/>
        <v>14.659769447999999</v>
      </c>
      <c r="E64">
        <f t="shared" si="3"/>
        <v>0</v>
      </c>
      <c r="F64">
        <f t="shared" si="4"/>
        <v>0</v>
      </c>
      <c r="G64">
        <f t="shared" si="5"/>
        <v>26.863605033564276</v>
      </c>
      <c r="K64">
        <v>0</v>
      </c>
      <c r="L64">
        <v>0</v>
      </c>
      <c r="M64">
        <v>7.7576000000000001</v>
      </c>
      <c r="N64">
        <v>0</v>
      </c>
      <c r="O64">
        <v>0</v>
      </c>
      <c r="P64">
        <v>7.52254472</v>
      </c>
    </row>
    <row r="65" spans="1:16" x14ac:dyDescent="0.25">
      <c r="A65" t="s">
        <v>65</v>
      </c>
      <c r="B65">
        <f t="shared" si="0"/>
        <v>0</v>
      </c>
      <c r="C65">
        <f t="shared" si="1"/>
        <v>0</v>
      </c>
      <c r="D65">
        <f t="shared" si="2"/>
        <v>14.659769447999999</v>
      </c>
      <c r="E65">
        <f t="shared" si="3"/>
        <v>0</v>
      </c>
      <c r="F65">
        <f t="shared" si="4"/>
        <v>0</v>
      </c>
      <c r="G65">
        <f t="shared" si="5"/>
        <v>26.863605033564276</v>
      </c>
      <c r="K65">
        <v>0</v>
      </c>
      <c r="L65">
        <v>0</v>
      </c>
      <c r="M65">
        <v>7.7576000000000001</v>
      </c>
      <c r="N65">
        <v>0</v>
      </c>
      <c r="O65">
        <v>0</v>
      </c>
      <c r="P65">
        <v>7.52254472</v>
      </c>
    </row>
    <row r="66" spans="1:16" x14ac:dyDescent="0.25">
      <c r="A66" t="s">
        <v>66</v>
      </c>
      <c r="B66">
        <f t="shared" si="0"/>
        <v>0</v>
      </c>
      <c r="C66">
        <f t="shared" si="1"/>
        <v>0</v>
      </c>
      <c r="D66">
        <f t="shared" si="2"/>
        <v>14.659769447999999</v>
      </c>
      <c r="E66">
        <f t="shared" si="3"/>
        <v>0</v>
      </c>
      <c r="F66">
        <f t="shared" si="4"/>
        <v>0</v>
      </c>
      <c r="G66">
        <f t="shared" si="5"/>
        <v>26.863605033564276</v>
      </c>
      <c r="K66">
        <v>0</v>
      </c>
      <c r="L66">
        <v>0</v>
      </c>
      <c r="M66">
        <v>7.7576000000000001</v>
      </c>
      <c r="N66">
        <v>0</v>
      </c>
      <c r="O66">
        <v>0</v>
      </c>
      <c r="P66">
        <v>7.52254472</v>
      </c>
    </row>
    <row r="67" spans="1:16" x14ac:dyDescent="0.25">
      <c r="A67" t="s">
        <v>67</v>
      </c>
      <c r="B67">
        <f>K67*$S$2</f>
        <v>0</v>
      </c>
      <c r="C67">
        <f>L67*$S$2</f>
        <v>0</v>
      </c>
      <c r="D67">
        <f>M67*$S$2</f>
        <v>14.659769447999999</v>
      </c>
      <c r="E67">
        <f>N67*$U$2</f>
        <v>0</v>
      </c>
      <c r="F67">
        <f>O67*$U$2</f>
        <v>0</v>
      </c>
      <c r="G67">
        <f>P67*$U$2</f>
        <v>26.863605033564276</v>
      </c>
      <c r="K67">
        <v>0</v>
      </c>
      <c r="L67">
        <v>0</v>
      </c>
      <c r="M67">
        <v>7.7576000000000001</v>
      </c>
      <c r="N67">
        <v>0</v>
      </c>
      <c r="O67">
        <v>0</v>
      </c>
      <c r="P67">
        <v>7.52254472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6BE5-42E9-49A9-BEA1-00E93252BFC8}">
  <dimension ref="A1:O67"/>
  <sheetViews>
    <sheetView workbookViewId="0">
      <selection activeCell="H2" sqref="H2"/>
    </sheetView>
  </sheetViews>
  <sheetFormatPr defaultRowHeight="15" x14ac:dyDescent="0.25"/>
  <cols>
    <col min="1" max="1" width="19.85546875" bestFit="1" customWidth="1"/>
    <col min="2" max="2" width="7.7109375" customWidth="1"/>
    <col min="3" max="4" width="7.7109375" bestFit="1" customWidth="1"/>
    <col min="5" max="5" width="11.140625" bestFit="1" customWidth="1"/>
    <col min="7" max="7" width="16.5703125" customWidth="1"/>
    <col min="15" max="15" width="14.42578125" customWidth="1"/>
  </cols>
  <sheetData>
    <row r="1" spans="1:15" x14ac:dyDescent="0.25">
      <c r="A1" t="s">
        <v>147</v>
      </c>
      <c r="B1" t="s">
        <v>80</v>
      </c>
      <c r="C1" t="s">
        <v>77</v>
      </c>
      <c r="D1" t="s">
        <v>78</v>
      </c>
      <c r="E1" t="s">
        <v>146</v>
      </c>
      <c r="F1" t="s">
        <v>181</v>
      </c>
      <c r="G1" t="s">
        <v>148</v>
      </c>
      <c r="H1" t="s">
        <v>80</v>
      </c>
      <c r="I1" t="s">
        <v>77</v>
      </c>
      <c r="J1" t="s">
        <v>78</v>
      </c>
      <c r="O1" t="s">
        <v>82</v>
      </c>
    </row>
    <row r="2" spans="1:15" x14ac:dyDescent="0.25">
      <c r="A2" t="s">
        <v>1</v>
      </c>
      <c r="B2">
        <v>0</v>
      </c>
      <c r="C2">
        <v>0</v>
      </c>
      <c r="D2">
        <v>-0.76700000000000002</v>
      </c>
      <c r="E2">
        <v>0.76700000000000002</v>
      </c>
      <c r="F2" s="13"/>
      <c r="H2">
        <f>dipoles[[#This Row],[X]]*$O$2-'q,d_sum'!B2</f>
        <v>0</v>
      </c>
      <c r="I2">
        <f>dipoles[[#This Row],[Y]]*$O$2-'q,d_sum'!C2</f>
        <v>0</v>
      </c>
      <c r="J2">
        <f>dipoles[[#This Row],[Z]]*$O$2-'q,d_sum'!D2</f>
        <v>11.513775784899979</v>
      </c>
      <c r="O2">
        <v>0.39343030000000001</v>
      </c>
    </row>
    <row r="3" spans="1:15" x14ac:dyDescent="0.25">
      <c r="A3" t="s">
        <v>2</v>
      </c>
      <c r="B3" t="s">
        <v>87</v>
      </c>
      <c r="C3" t="s">
        <v>88</v>
      </c>
      <c r="D3" t="s">
        <v>89</v>
      </c>
      <c r="E3" t="s">
        <v>89</v>
      </c>
      <c r="F3" s="13"/>
      <c r="H3">
        <f>dipoles[[#This Row],[X]]*$O$2-'q,d_sum'!B3</f>
        <v>0</v>
      </c>
      <c r="I3">
        <f>dipoles[[#This Row],[Y]]*$O$2-'q,d_sum'!C3</f>
        <v>0</v>
      </c>
      <c r="J3">
        <f>dipoles[[#This Row],[Z]]*$O$2-'q,d_sum'!D3</f>
        <v>12.112694730589979</v>
      </c>
    </row>
    <row r="4" spans="1:15" x14ac:dyDescent="0.25">
      <c r="A4" t="s">
        <v>3</v>
      </c>
      <c r="B4" t="s">
        <v>87</v>
      </c>
      <c r="C4" t="s">
        <v>88</v>
      </c>
      <c r="D4" t="s">
        <v>90</v>
      </c>
      <c r="E4" t="s">
        <v>90</v>
      </c>
      <c r="F4" s="13"/>
      <c r="H4">
        <f>dipoles[[#This Row],[X]]*$O$2-'q,d_sum'!B4</f>
        <v>0</v>
      </c>
      <c r="I4">
        <f>dipoles[[#This Row],[Y]]*$O$2-'q,d_sum'!C4</f>
        <v>0</v>
      </c>
      <c r="J4">
        <f>dipoles[[#This Row],[Z]]*$O$2-'q,d_sum'!D4</f>
        <v>12.116668376619979</v>
      </c>
    </row>
    <row r="5" spans="1:15" x14ac:dyDescent="0.25">
      <c r="A5" t="s">
        <v>4</v>
      </c>
      <c r="B5" t="s">
        <v>88</v>
      </c>
      <c r="C5" t="s">
        <v>88</v>
      </c>
      <c r="D5" t="s">
        <v>91</v>
      </c>
      <c r="E5" t="s">
        <v>91</v>
      </c>
      <c r="F5" s="13"/>
      <c r="H5">
        <f>dipoles[[#This Row],[X]]*$O$2-'q,d_sum'!B5</f>
        <v>0</v>
      </c>
      <c r="I5">
        <f>dipoles[[#This Row],[Y]]*$O$2-'q,d_sum'!C5</f>
        <v>0</v>
      </c>
      <c r="J5">
        <f>dipoles[[#This Row],[Z]]*$O$2-'q,d_sum'!D5</f>
        <v>12.108681741529979</v>
      </c>
    </row>
    <row r="6" spans="1:15" x14ac:dyDescent="0.25">
      <c r="A6" t="s">
        <v>5</v>
      </c>
      <c r="B6" t="s">
        <v>87</v>
      </c>
      <c r="C6" t="s">
        <v>87</v>
      </c>
      <c r="D6" t="s">
        <v>92</v>
      </c>
      <c r="E6" t="s">
        <v>92</v>
      </c>
      <c r="F6" s="13"/>
      <c r="H6">
        <f>dipoles[[#This Row],[X]]*$O$2-'q,d_sum'!B6</f>
        <v>0</v>
      </c>
      <c r="I6">
        <f>dipoles[[#This Row],[Y]]*$O$2-'q,d_sum'!C6</f>
        <v>0</v>
      </c>
      <c r="J6">
        <f>dipoles[[#This Row],[Z]]*$O$2-'q,d_sum'!D6</f>
        <v>12.110688236059978</v>
      </c>
    </row>
    <row r="7" spans="1:15" x14ac:dyDescent="0.25">
      <c r="A7" t="s">
        <v>6</v>
      </c>
      <c r="B7" t="s">
        <v>87</v>
      </c>
      <c r="C7" t="s">
        <v>87</v>
      </c>
      <c r="D7" t="s">
        <v>90</v>
      </c>
      <c r="E7" t="s">
        <v>90</v>
      </c>
      <c r="F7" s="13"/>
      <c r="H7">
        <f>dipoles[[#This Row],[X]]*$O$2-'q,d_sum'!B7</f>
        <v>0</v>
      </c>
      <c r="I7">
        <f>dipoles[[#This Row],[Y]]*$O$2-'q,d_sum'!C7</f>
        <v>0</v>
      </c>
      <c r="J7">
        <f>dipoles[[#This Row],[Z]]*$O$2-'q,d_sum'!D7</f>
        <v>12.116668376619979</v>
      </c>
    </row>
    <row r="8" spans="1:15" x14ac:dyDescent="0.25">
      <c r="A8" t="s">
        <v>7</v>
      </c>
      <c r="B8">
        <v>0</v>
      </c>
      <c r="C8">
        <v>0</v>
      </c>
      <c r="D8">
        <v>0</v>
      </c>
      <c r="E8">
        <v>0</v>
      </c>
      <c r="F8" s="13"/>
      <c r="H8">
        <f>dipoles[[#This Row],[X]]*$O$2-'q,d_sum'!B8</f>
        <v>0</v>
      </c>
      <c r="I8">
        <f>dipoles[[#This Row],[Y]]*$O$2-'q,d_sum'!C8</f>
        <v>0</v>
      </c>
      <c r="J8">
        <f>dipoles[[#This Row],[Z]]*$O$2-'q,d_sum'!D8</f>
        <v>0</v>
      </c>
    </row>
    <row r="9" spans="1:15" x14ac:dyDescent="0.25">
      <c r="A9" t="s">
        <v>8</v>
      </c>
      <c r="B9" t="s">
        <v>88</v>
      </c>
      <c r="C9" t="s">
        <v>88</v>
      </c>
      <c r="D9" t="s">
        <v>88</v>
      </c>
      <c r="E9" t="s">
        <v>87</v>
      </c>
      <c r="F9" s="13"/>
      <c r="H9">
        <f>dipoles[[#This Row],[X]]*$O$2-'q,d_sum'!B9</f>
        <v>0</v>
      </c>
      <c r="I9">
        <f>dipoles[[#This Row],[Y]]*$O$2-'q,d_sum'!C9</f>
        <v>0</v>
      </c>
      <c r="J9">
        <f>dipoles[[#This Row],[Z]]*$O$2-'q,d_sum'!D9</f>
        <v>0</v>
      </c>
    </row>
    <row r="10" spans="1:15" x14ac:dyDescent="0.25">
      <c r="A10" t="s">
        <v>9</v>
      </c>
      <c r="B10" t="s">
        <v>88</v>
      </c>
      <c r="C10" t="s">
        <v>88</v>
      </c>
      <c r="D10" t="s">
        <v>87</v>
      </c>
      <c r="E10" t="s">
        <v>87</v>
      </c>
      <c r="F10" s="13"/>
      <c r="H10">
        <f>dipoles[[#This Row],[X]]*$O$2-'q,d_sum'!B10</f>
        <v>0</v>
      </c>
      <c r="I10">
        <f>dipoles[[#This Row],[Y]]*$O$2-'q,d_sum'!C10</f>
        <v>0</v>
      </c>
      <c r="J10">
        <f>dipoles[[#This Row],[Z]]*$O$2-'q,d_sum'!D10</f>
        <v>0</v>
      </c>
    </row>
    <row r="11" spans="1:15" x14ac:dyDescent="0.25">
      <c r="A11" t="s">
        <v>10</v>
      </c>
      <c r="B11" t="s">
        <v>88</v>
      </c>
      <c r="C11" t="s">
        <v>87</v>
      </c>
      <c r="D11" t="s">
        <v>88</v>
      </c>
      <c r="E11" t="s">
        <v>87</v>
      </c>
      <c r="F11" s="13"/>
      <c r="H11">
        <f>dipoles[[#This Row],[X]]*$O$2-'q,d_sum'!B11</f>
        <v>0</v>
      </c>
      <c r="I11">
        <f>dipoles[[#This Row],[Y]]*$O$2-'q,d_sum'!C11</f>
        <v>0</v>
      </c>
      <c r="J11">
        <f>dipoles[[#This Row],[Z]]*$O$2-'q,d_sum'!D11</f>
        <v>0</v>
      </c>
    </row>
    <row r="12" spans="1:15" x14ac:dyDescent="0.25">
      <c r="A12" t="s">
        <v>11</v>
      </c>
      <c r="B12" t="s">
        <v>88</v>
      </c>
      <c r="C12" t="s">
        <v>88</v>
      </c>
      <c r="D12" t="s">
        <v>88</v>
      </c>
      <c r="E12" t="s">
        <v>87</v>
      </c>
      <c r="F12" s="13"/>
      <c r="H12">
        <f>dipoles[[#This Row],[X]]*$O$2-'q,d_sum'!B12</f>
        <v>0</v>
      </c>
      <c r="I12">
        <f>dipoles[[#This Row],[Y]]*$O$2-'q,d_sum'!C12</f>
        <v>0</v>
      </c>
      <c r="J12">
        <f>dipoles[[#This Row],[Z]]*$O$2-'q,d_sum'!D12</f>
        <v>0</v>
      </c>
    </row>
    <row r="13" spans="1:15" x14ac:dyDescent="0.25">
      <c r="A13" t="s">
        <v>12</v>
      </c>
      <c r="B13" t="s">
        <v>87</v>
      </c>
      <c r="C13" t="s">
        <v>88</v>
      </c>
      <c r="D13" t="s">
        <v>88</v>
      </c>
      <c r="E13" t="s">
        <v>87</v>
      </c>
      <c r="F13" s="13"/>
      <c r="H13">
        <f>dipoles[[#This Row],[X]]*$O$2-'q,d_sum'!B13</f>
        <v>0</v>
      </c>
      <c r="I13">
        <f>dipoles[[#This Row],[Y]]*$O$2-'q,d_sum'!C13</f>
        <v>0</v>
      </c>
      <c r="J13">
        <f>dipoles[[#This Row],[Z]]*$O$2-'q,d_sum'!D13</f>
        <v>0</v>
      </c>
    </row>
    <row r="14" spans="1:15" x14ac:dyDescent="0.25">
      <c r="A14" t="s">
        <v>13</v>
      </c>
      <c r="B14">
        <v>0</v>
      </c>
      <c r="C14">
        <v>0</v>
      </c>
      <c r="D14">
        <v>-1.5660000000000001</v>
      </c>
      <c r="E14">
        <v>1.5660000000000001</v>
      </c>
      <c r="F14" s="13"/>
      <c r="H14">
        <f>dipoles[[#This Row],[X]]*$O$2-'q,d_sum'!B14</f>
        <v>0</v>
      </c>
      <c r="I14">
        <f>dipoles[[#This Row],[Y]]*$O$2-'q,d_sum'!C14</f>
        <v>0</v>
      </c>
      <c r="J14">
        <f>dipoles[[#This Row],[Z]]*$O$2-'q,d_sum'!D14</f>
        <v>-13.902425533799981</v>
      </c>
    </row>
    <row r="15" spans="1:15" x14ac:dyDescent="0.25">
      <c r="A15" t="s">
        <v>14</v>
      </c>
      <c r="B15" t="s">
        <v>88</v>
      </c>
      <c r="C15" t="s">
        <v>88</v>
      </c>
      <c r="D15" t="s">
        <v>93</v>
      </c>
      <c r="E15" t="s">
        <v>93</v>
      </c>
      <c r="F15" s="13"/>
      <c r="H15">
        <f>dipoles[[#This Row],[X]]*$O$2-'q,d_sum'!B15</f>
        <v>0</v>
      </c>
      <c r="I15">
        <f>dipoles[[#This Row],[Y]]*$O$2-'q,d_sum'!C15</f>
        <v>0</v>
      </c>
      <c r="J15">
        <f>dipoles[[#This Row],[Z]]*$O$2-'q,d_sum'!D15</f>
        <v>-12.703840124849982</v>
      </c>
    </row>
    <row r="16" spans="1:15" x14ac:dyDescent="0.25">
      <c r="A16" t="s">
        <v>15</v>
      </c>
      <c r="B16" t="s">
        <v>87</v>
      </c>
      <c r="C16" t="s">
        <v>88</v>
      </c>
      <c r="D16" t="s">
        <v>94</v>
      </c>
      <c r="E16" t="s">
        <v>94</v>
      </c>
      <c r="F16" s="13"/>
      <c r="H16">
        <f>dipoles[[#This Row],[X]]*$O$2-'q,d_sum'!B16</f>
        <v>0</v>
      </c>
      <c r="I16">
        <f>dipoles[[#This Row],[Y]]*$O$2-'q,d_sum'!C16</f>
        <v>0</v>
      </c>
      <c r="J16">
        <f>dipoles[[#This Row],[Z]]*$O$2-'q,d_sum'!D16</f>
        <v>-12.832924606279981</v>
      </c>
    </row>
    <row r="17" spans="1:10" x14ac:dyDescent="0.25">
      <c r="A17" t="s">
        <v>16</v>
      </c>
      <c r="B17" t="s">
        <v>88</v>
      </c>
      <c r="C17" t="s">
        <v>87</v>
      </c>
      <c r="D17" t="s">
        <v>95</v>
      </c>
      <c r="E17" t="s">
        <v>95</v>
      </c>
      <c r="F17" s="13"/>
      <c r="H17">
        <f>dipoles[[#This Row],[X]]*$O$2-'q,d_sum'!B17</f>
        <v>0</v>
      </c>
      <c r="I17">
        <f>dipoles[[#This Row],[Y]]*$O$2-'q,d_sum'!C17</f>
        <v>0</v>
      </c>
      <c r="J17">
        <f>dipoles[[#This Row],[Z]]*$O$2-'q,d_sum'!D17</f>
        <v>-12.616537941279981</v>
      </c>
    </row>
    <row r="18" spans="1:10" x14ac:dyDescent="0.25">
      <c r="A18" t="s">
        <v>17</v>
      </c>
      <c r="B18" t="s">
        <v>87</v>
      </c>
      <c r="C18" t="s">
        <v>88</v>
      </c>
      <c r="D18" t="s">
        <v>96</v>
      </c>
      <c r="E18" t="s">
        <v>96</v>
      </c>
      <c r="F18" s="13"/>
      <c r="H18">
        <f>dipoles[[#This Row],[X]]*$O$2-'q,d_sum'!B18</f>
        <v>0</v>
      </c>
      <c r="I18">
        <f>dipoles[[#This Row],[Y]]*$O$2-'q,d_sum'!C18</f>
        <v>0</v>
      </c>
      <c r="J18">
        <f>dipoles[[#This Row],[Z]]*$O$2-'q,d_sum'!D18</f>
        <v>-12.719616679879982</v>
      </c>
    </row>
    <row r="19" spans="1:10" x14ac:dyDescent="0.25">
      <c r="A19" t="s">
        <v>18</v>
      </c>
      <c r="B19" t="s">
        <v>87</v>
      </c>
      <c r="C19" t="s">
        <v>88</v>
      </c>
      <c r="D19" t="s">
        <v>94</v>
      </c>
      <c r="E19" t="s">
        <v>94</v>
      </c>
      <c r="F19" s="13"/>
      <c r="H19">
        <f>dipoles[[#This Row],[X]]*$O$2-'q,d_sum'!B19</f>
        <v>0</v>
      </c>
      <c r="I19">
        <f>dipoles[[#This Row],[Y]]*$O$2-'q,d_sum'!C19</f>
        <v>0</v>
      </c>
      <c r="J19">
        <f>dipoles[[#This Row],[Z]]*$O$2-'q,d_sum'!D19</f>
        <v>-12.832924606279981</v>
      </c>
    </row>
    <row r="20" spans="1:10" x14ac:dyDescent="0.25">
      <c r="A20" t="s">
        <v>25</v>
      </c>
      <c r="B20">
        <v>0</v>
      </c>
      <c r="C20">
        <v>0</v>
      </c>
      <c r="D20">
        <v>6.8000000000000005E-2</v>
      </c>
      <c r="E20">
        <v>6.8000000000000005E-2</v>
      </c>
      <c r="F20" s="13"/>
      <c r="H20">
        <f>dipoles[[#This Row],[X]]*$O$2-'q,d_sum'!B20</f>
        <v>0</v>
      </c>
      <c r="I20">
        <f>dipoles[[#This Row],[Y]]*$O$2-'q,d_sum'!C20</f>
        <v>0</v>
      </c>
      <c r="J20">
        <f>dipoles[[#This Row],[Z]]*$O$2-'q,d_sum'!D20</f>
        <v>2.6753260400000003E-2</v>
      </c>
    </row>
    <row r="21" spans="1:10" x14ac:dyDescent="0.25">
      <c r="A21" t="s">
        <v>26</v>
      </c>
      <c r="B21" t="s">
        <v>87</v>
      </c>
      <c r="C21" t="s">
        <v>88</v>
      </c>
      <c r="D21" t="s">
        <v>97</v>
      </c>
      <c r="E21" t="s">
        <v>97</v>
      </c>
      <c r="F21" s="13"/>
      <c r="H21">
        <f>dipoles[[#This Row],[X]]*$O$2-'q,d_sum'!B21</f>
        <v>0</v>
      </c>
      <c r="I21">
        <f>dipoles[[#This Row],[Y]]*$O$2-'q,d_sum'!C21</f>
        <v>0</v>
      </c>
      <c r="J21">
        <f>dipoles[[#This Row],[Z]]*$O$2-'q,d_sum'!D21</f>
        <v>4.0051204540000003E-2</v>
      </c>
    </row>
    <row r="22" spans="1:10" x14ac:dyDescent="0.25">
      <c r="A22" t="s">
        <v>28</v>
      </c>
      <c r="B22" t="s">
        <v>88</v>
      </c>
      <c r="C22" t="s">
        <v>87</v>
      </c>
      <c r="D22" t="s">
        <v>98</v>
      </c>
      <c r="E22" t="s">
        <v>98</v>
      </c>
      <c r="F22" s="13"/>
      <c r="H22">
        <f>dipoles[[#This Row],[X]]*$O$2-'q,d_sum'!B22</f>
        <v>0</v>
      </c>
      <c r="I22">
        <f>dipoles[[#This Row],[Y]]*$O$2-'q,d_sum'!C22</f>
        <v>0</v>
      </c>
      <c r="J22">
        <f>dipoles[[#This Row],[Z]]*$O$2-'q,d_sum'!D22</f>
        <v>8.8089044169999992E-2</v>
      </c>
    </row>
    <row r="23" spans="1:10" x14ac:dyDescent="0.25">
      <c r="A23" t="s">
        <v>29</v>
      </c>
      <c r="B23" t="s">
        <v>87</v>
      </c>
      <c r="C23" t="s">
        <v>87</v>
      </c>
      <c r="D23" t="s">
        <v>99</v>
      </c>
      <c r="E23" t="s">
        <v>99</v>
      </c>
      <c r="F23" s="13"/>
      <c r="H23">
        <f>dipoles[[#This Row],[X]]*$O$2-'q,d_sum'!B23</f>
        <v>0</v>
      </c>
      <c r="I23">
        <f>dipoles[[#This Row],[Y]]*$O$2-'q,d_sum'!C23</f>
        <v>0</v>
      </c>
      <c r="J23">
        <f>dipoles[[#This Row],[Z]]*$O$2-'q,d_sum'!D23</f>
        <v>1.2668455659999999E-2</v>
      </c>
    </row>
    <row r="24" spans="1:10" x14ac:dyDescent="0.25">
      <c r="A24" t="s">
        <v>30</v>
      </c>
      <c r="B24" t="s">
        <v>88</v>
      </c>
      <c r="C24" t="s">
        <v>88</v>
      </c>
      <c r="D24" t="s">
        <v>100</v>
      </c>
      <c r="E24" t="s">
        <v>100</v>
      </c>
      <c r="F24" s="13"/>
      <c r="H24">
        <f>dipoles[[#This Row],[X]]*$O$2-'q,d_sum'!B24</f>
        <v>0</v>
      </c>
      <c r="I24">
        <f>dipoles[[#This Row],[Y]]*$O$2-'q,d_sum'!C24</f>
        <v>0</v>
      </c>
      <c r="J24">
        <f>dipoles[[#This Row],[Z]]*$O$2-'q,d_sum'!D24</f>
        <v>5.1854113540000003E-2</v>
      </c>
    </row>
    <row r="25" spans="1:10" x14ac:dyDescent="0.25">
      <c r="A25" t="s">
        <v>31</v>
      </c>
      <c r="B25" t="s">
        <v>88</v>
      </c>
      <c r="C25" t="s">
        <v>87</v>
      </c>
      <c r="D25" t="s">
        <v>101</v>
      </c>
      <c r="E25" t="s">
        <v>101</v>
      </c>
      <c r="F25" s="13"/>
      <c r="H25">
        <f>dipoles[[#This Row],[X]]*$O$2-'q,d_sum'!B25</f>
        <v>0</v>
      </c>
      <c r="I25">
        <f>dipoles[[#This Row],[Y]]*$O$2-'q,d_sum'!C25</f>
        <v>0</v>
      </c>
      <c r="J25">
        <f>dipoles[[#This Row],[Z]]*$O$2-'q,d_sum'!D25</f>
        <v>9.0095538700000005E-2</v>
      </c>
    </row>
    <row r="26" spans="1:10" x14ac:dyDescent="0.25">
      <c r="A26" t="s">
        <v>19</v>
      </c>
      <c r="B26">
        <v>0</v>
      </c>
      <c r="C26">
        <v>0</v>
      </c>
      <c r="D26">
        <v>0</v>
      </c>
      <c r="E26">
        <v>0</v>
      </c>
      <c r="F26" s="13"/>
      <c r="H26">
        <f>dipoles[[#This Row],[X]]*$O$2-'q,d_sum'!B26</f>
        <v>0</v>
      </c>
      <c r="I26">
        <f>dipoles[[#This Row],[Y]]*$O$2-'q,d_sum'!C26</f>
        <v>0</v>
      </c>
      <c r="J26">
        <f>dipoles[[#This Row],[Z]]*$O$2-'q,d_sum'!D26</f>
        <v>-17.055947088</v>
      </c>
    </row>
    <row r="27" spans="1:10" x14ac:dyDescent="0.25">
      <c r="A27" t="s">
        <v>20</v>
      </c>
      <c r="B27" t="s">
        <v>88</v>
      </c>
      <c r="C27" t="s">
        <v>88</v>
      </c>
      <c r="D27" t="s">
        <v>87</v>
      </c>
      <c r="E27" t="s">
        <v>87</v>
      </c>
      <c r="F27" s="13"/>
      <c r="H27">
        <f>dipoles[[#This Row],[X]]*$O$2-'q,d_sum'!B27</f>
        <v>0</v>
      </c>
      <c r="I27">
        <f>dipoles[[#This Row],[Y]]*$O$2-'q,d_sum'!C27</f>
        <v>0</v>
      </c>
      <c r="J27">
        <f>dipoles[[#This Row],[Z]]*$O$2-'q,d_sum'!D27</f>
        <v>-17.055947088</v>
      </c>
    </row>
    <row r="28" spans="1:10" x14ac:dyDescent="0.25">
      <c r="A28" t="s">
        <v>21</v>
      </c>
      <c r="B28" t="s">
        <v>87</v>
      </c>
      <c r="C28" t="s">
        <v>87</v>
      </c>
      <c r="D28" t="s">
        <v>88</v>
      </c>
      <c r="E28" t="s">
        <v>87</v>
      </c>
      <c r="F28" s="13"/>
      <c r="H28">
        <f>dipoles[[#This Row],[X]]*$O$2-'q,d_sum'!B28</f>
        <v>0</v>
      </c>
      <c r="I28">
        <f>dipoles[[#This Row],[Y]]*$O$2-'q,d_sum'!C28</f>
        <v>0</v>
      </c>
      <c r="J28">
        <f>dipoles[[#This Row],[Z]]*$O$2-'q,d_sum'!D28</f>
        <v>-17.055947088</v>
      </c>
    </row>
    <row r="29" spans="1:10" x14ac:dyDescent="0.25">
      <c r="A29" t="s">
        <v>22</v>
      </c>
      <c r="B29" t="s">
        <v>87</v>
      </c>
      <c r="C29" t="s">
        <v>87</v>
      </c>
      <c r="D29" t="s">
        <v>87</v>
      </c>
      <c r="E29" t="s">
        <v>87</v>
      </c>
      <c r="F29" s="13"/>
      <c r="H29">
        <f>dipoles[[#This Row],[X]]*$O$2-'q,d_sum'!B29</f>
        <v>0</v>
      </c>
      <c r="I29">
        <f>dipoles[[#This Row],[Y]]*$O$2-'q,d_sum'!C29</f>
        <v>0</v>
      </c>
      <c r="J29">
        <f>dipoles[[#This Row],[Z]]*$O$2-'q,d_sum'!D29</f>
        <v>-17.055947088</v>
      </c>
    </row>
    <row r="30" spans="1:10" x14ac:dyDescent="0.25">
      <c r="A30" t="s">
        <v>23</v>
      </c>
      <c r="B30" t="s">
        <v>88</v>
      </c>
      <c r="C30" t="s">
        <v>88</v>
      </c>
      <c r="D30" t="s">
        <v>87</v>
      </c>
      <c r="E30" t="s">
        <v>87</v>
      </c>
      <c r="F30" s="13"/>
      <c r="H30">
        <f>dipoles[[#This Row],[X]]*$O$2-'q,d_sum'!B30</f>
        <v>0</v>
      </c>
      <c r="I30">
        <f>dipoles[[#This Row],[Y]]*$O$2-'q,d_sum'!C30</f>
        <v>0</v>
      </c>
      <c r="J30">
        <f>dipoles[[#This Row],[Z]]*$O$2-'q,d_sum'!D30</f>
        <v>-17.055947088</v>
      </c>
    </row>
    <row r="31" spans="1:10" x14ac:dyDescent="0.25">
      <c r="A31" t="s">
        <v>24</v>
      </c>
      <c r="B31" t="s">
        <v>87</v>
      </c>
      <c r="C31" t="s">
        <v>88</v>
      </c>
      <c r="D31" t="s">
        <v>87</v>
      </c>
      <c r="E31" t="s">
        <v>87</v>
      </c>
      <c r="F31" s="13"/>
      <c r="H31">
        <f>dipoles[[#This Row],[X]]*$O$2-'q,d_sum'!B31</f>
        <v>0</v>
      </c>
      <c r="I31">
        <f>dipoles[[#This Row],[Y]]*$O$2-'q,d_sum'!C31</f>
        <v>0</v>
      </c>
      <c r="J31">
        <f>dipoles[[#This Row],[Z]]*$O$2-'q,d_sum'!D31</f>
        <v>-17.055947088</v>
      </c>
    </row>
    <row r="32" spans="1:10" x14ac:dyDescent="0.25">
      <c r="A32" t="s">
        <v>32</v>
      </c>
      <c r="B32">
        <v>0</v>
      </c>
      <c r="C32">
        <v>0</v>
      </c>
      <c r="D32">
        <v>-1.863</v>
      </c>
      <c r="E32">
        <v>1.863</v>
      </c>
      <c r="F32" s="13"/>
      <c r="H32">
        <f>dipoles[[#This Row],[X]]*$O$2-'q,d_sum'!B32</f>
        <v>0</v>
      </c>
      <c r="I32">
        <f>dipoles[[#This Row],[Y]]*$O$2-'q,d_sum'!C32</f>
        <v>0</v>
      </c>
      <c r="J32">
        <f>dipoles[[#This Row],[Z]]*$O$2-'q,d_sum'!D32</f>
        <v>-0.73296064890000001</v>
      </c>
    </row>
    <row r="33" spans="1:10" x14ac:dyDescent="0.25">
      <c r="A33" t="s">
        <v>33</v>
      </c>
      <c r="B33" t="s">
        <v>87</v>
      </c>
      <c r="C33" t="s">
        <v>88</v>
      </c>
      <c r="D33" t="s">
        <v>102</v>
      </c>
      <c r="E33" t="s">
        <v>103</v>
      </c>
      <c r="F33" s="13"/>
      <c r="H33">
        <f>dipoles[[#This Row],[X]]*$O$2-'q,d_sum'!B33</f>
        <v>0</v>
      </c>
      <c r="I33">
        <f>dipoles[[#This Row],[Y]]*$O$2-'q,d_sum'!C33</f>
        <v>0</v>
      </c>
      <c r="J33">
        <f>dipoles[[#This Row],[Z]]*$O$2-'q,d_sum'!D33</f>
        <v>-0.73095415437000011</v>
      </c>
    </row>
    <row r="34" spans="1:10" x14ac:dyDescent="0.25">
      <c r="A34" t="s">
        <v>34</v>
      </c>
      <c r="B34" t="s">
        <v>88</v>
      </c>
      <c r="C34" t="s">
        <v>88</v>
      </c>
      <c r="D34" t="s">
        <v>104</v>
      </c>
      <c r="E34" t="s">
        <v>105</v>
      </c>
      <c r="F34" s="13"/>
      <c r="H34">
        <f>dipoles[[#This Row],[X]]*$O$2-'q,d_sum'!B34</f>
        <v>0</v>
      </c>
      <c r="I34">
        <f>dipoles[[#This Row],[Y]]*$O$2-'q,d_sum'!C34</f>
        <v>0</v>
      </c>
      <c r="J34">
        <f>dipoles[[#This Row],[Z]]*$O$2-'q,d_sum'!D34</f>
        <v>-0.70616804547000001</v>
      </c>
    </row>
    <row r="35" spans="1:10" x14ac:dyDescent="0.25">
      <c r="A35" t="s">
        <v>35</v>
      </c>
      <c r="B35" t="s">
        <v>88</v>
      </c>
      <c r="C35" t="s">
        <v>87</v>
      </c>
      <c r="D35" t="s">
        <v>106</v>
      </c>
      <c r="E35" t="s">
        <v>107</v>
      </c>
      <c r="F35" s="13"/>
      <c r="H35">
        <f>dipoles[[#This Row],[X]]*$O$2-'q,d_sum'!B35</f>
        <v>0</v>
      </c>
      <c r="I35">
        <f>dipoles[[#This Row],[Y]]*$O$2-'q,d_sum'!C35</f>
        <v>0</v>
      </c>
      <c r="J35">
        <f>dipoles[[#This Row],[Z]]*$O$2-'q,d_sum'!D35</f>
        <v>-0.74173414458999998</v>
      </c>
    </row>
    <row r="36" spans="1:10" x14ac:dyDescent="0.25">
      <c r="A36" t="s">
        <v>36</v>
      </c>
      <c r="B36" t="s">
        <v>88</v>
      </c>
      <c r="C36" t="s">
        <v>88</v>
      </c>
      <c r="D36" t="s">
        <v>108</v>
      </c>
      <c r="E36" t="s">
        <v>109</v>
      </c>
      <c r="F36" s="13"/>
      <c r="H36">
        <f>dipoles[[#This Row],[X]]*$O$2-'q,d_sum'!B36</f>
        <v>0</v>
      </c>
      <c r="I36">
        <f>dipoles[[#This Row],[Y]]*$O$2-'q,d_sum'!C36</f>
        <v>0</v>
      </c>
      <c r="J36">
        <f>dipoles[[#This Row],[Z]]*$O$2-'q,d_sum'!D36</f>
        <v>-0.72375437988000002</v>
      </c>
    </row>
    <row r="37" spans="1:10" x14ac:dyDescent="0.25">
      <c r="A37" t="s">
        <v>37</v>
      </c>
      <c r="B37" t="s">
        <v>88</v>
      </c>
      <c r="C37" t="s">
        <v>87</v>
      </c>
      <c r="D37" t="s">
        <v>104</v>
      </c>
      <c r="E37" t="s">
        <v>105</v>
      </c>
      <c r="F37" s="13"/>
      <c r="H37">
        <f>dipoles[[#This Row],[X]]*$O$2-'q,d_sum'!B37</f>
        <v>0</v>
      </c>
      <c r="I37">
        <f>dipoles[[#This Row],[Y]]*$O$2-'q,d_sum'!C37</f>
        <v>0</v>
      </c>
      <c r="J37">
        <f>dipoles[[#This Row],[Z]]*$O$2-'q,d_sum'!D37</f>
        <v>-0.70616804547000001</v>
      </c>
    </row>
    <row r="38" spans="1:10" x14ac:dyDescent="0.25">
      <c r="A38" t="s">
        <v>38</v>
      </c>
      <c r="B38" t="s">
        <v>27</v>
      </c>
      <c r="C38" t="s">
        <v>86</v>
      </c>
      <c r="D38" t="s">
        <v>86</v>
      </c>
      <c r="E38" t="s">
        <v>86</v>
      </c>
      <c r="F38" s="13"/>
      <c r="H38" t="e">
        <f>dipoles[[#This Row],[X]]*$O$2-'q,d_sum'!B38</f>
        <v>#VALUE!</v>
      </c>
      <c r="I38" t="e">
        <f>dipoles[[#This Row],[Y]]*$O$2-'q,d_sum'!C38</f>
        <v>#VALUE!</v>
      </c>
      <c r="J38" t="e">
        <f>dipoles[[#This Row],[Z]]*$O$2-'q,d_sum'!D38</f>
        <v>#VALUE!</v>
      </c>
    </row>
    <row r="39" spans="1:10" x14ac:dyDescent="0.25">
      <c r="A39" t="s">
        <v>39</v>
      </c>
      <c r="B39" t="s">
        <v>110</v>
      </c>
      <c r="C39" t="s">
        <v>111</v>
      </c>
      <c r="D39" t="s">
        <v>87</v>
      </c>
      <c r="E39" t="s">
        <v>112</v>
      </c>
      <c r="F39" s="13"/>
      <c r="H39">
        <f>dipoles[[#This Row],[X]]*$O$2-'q,d_sum'!B39</f>
        <v>7.4989613481799804</v>
      </c>
      <c r="I39">
        <f>dipoles[[#This Row],[Y]]*$O$2-'q,d_sum'!C39</f>
        <v>-16.032005976839997</v>
      </c>
      <c r="J39">
        <f>dipoles[[#This Row],[Z]]*$O$2-'q,d_sum'!D39</f>
        <v>0</v>
      </c>
    </row>
    <row r="40" spans="1:10" x14ac:dyDescent="0.25">
      <c r="A40" t="s">
        <v>40</v>
      </c>
      <c r="B40" t="s">
        <v>113</v>
      </c>
      <c r="C40" t="s">
        <v>114</v>
      </c>
      <c r="D40" t="s">
        <v>88</v>
      </c>
      <c r="E40" t="s">
        <v>115</v>
      </c>
      <c r="F40" s="13"/>
      <c r="H40">
        <f>dipoles[[#This Row],[X]]*$O$2-'q,d_sum'!B40</f>
        <v>7.4539135788299804</v>
      </c>
      <c r="I40">
        <f>dipoles[[#This Row],[Y]]*$O$2-'q,d_sum'!C40</f>
        <v>-15.967640779759998</v>
      </c>
      <c r="J40">
        <f>dipoles[[#This Row],[Z]]*$O$2-'q,d_sum'!D40</f>
        <v>0</v>
      </c>
    </row>
    <row r="41" spans="1:10" x14ac:dyDescent="0.25">
      <c r="A41" t="s">
        <v>41</v>
      </c>
      <c r="B41" t="s">
        <v>116</v>
      </c>
      <c r="C41" t="s">
        <v>117</v>
      </c>
      <c r="D41" t="s">
        <v>88</v>
      </c>
      <c r="E41" t="s">
        <v>118</v>
      </c>
      <c r="F41" s="13"/>
      <c r="H41">
        <f>dipoles[[#This Row],[X]]*$O$2-'q,d_sum'!B41</f>
        <v>7.5185935201499809</v>
      </c>
      <c r="I41">
        <f>dipoles[[#This Row],[Y]]*$O$2-'q,d_sum'!C41</f>
        <v>-16.07374893167</v>
      </c>
      <c r="J41">
        <f>dipoles[[#This Row],[Z]]*$O$2-'q,d_sum'!D41</f>
        <v>0</v>
      </c>
    </row>
    <row r="42" spans="1:10" x14ac:dyDescent="0.25">
      <c r="A42" t="s">
        <v>42</v>
      </c>
      <c r="B42" t="s">
        <v>119</v>
      </c>
      <c r="C42" t="s">
        <v>120</v>
      </c>
      <c r="D42" t="s">
        <v>88</v>
      </c>
      <c r="E42" t="s">
        <v>121</v>
      </c>
      <c r="F42" s="13"/>
      <c r="H42">
        <f>dipoles[[#This Row],[X]]*$O$2-'q,d_sum'!B42</f>
        <v>7.4850339155599803</v>
      </c>
      <c r="I42">
        <f>dipoles[[#This Row],[Y]]*$O$2-'q,d_sum'!C42</f>
        <v>-16.02158007389</v>
      </c>
      <c r="J42">
        <f>dipoles[[#This Row],[Z]]*$O$2-'q,d_sum'!D42</f>
        <v>0</v>
      </c>
    </row>
    <row r="43" spans="1:10" x14ac:dyDescent="0.25">
      <c r="A43" t="s">
        <v>43</v>
      </c>
      <c r="B43" t="s">
        <v>113</v>
      </c>
      <c r="C43" t="s">
        <v>114</v>
      </c>
      <c r="D43" t="s">
        <v>88</v>
      </c>
      <c r="E43" t="s">
        <v>115</v>
      </c>
      <c r="F43" s="13"/>
      <c r="H43">
        <f>dipoles[[#This Row],[X]]*$O$2-'q,d_sum'!B43</f>
        <v>7.4539135788299804</v>
      </c>
      <c r="I43">
        <f>dipoles[[#This Row],[Y]]*$O$2-'q,d_sum'!C43</f>
        <v>-15.967640779759998</v>
      </c>
      <c r="J43">
        <f>dipoles[[#This Row],[Z]]*$O$2-'q,d_sum'!D43</f>
        <v>0</v>
      </c>
    </row>
    <row r="44" spans="1:10" x14ac:dyDescent="0.25">
      <c r="A44" t="s">
        <v>44</v>
      </c>
      <c r="B44">
        <v>0</v>
      </c>
      <c r="C44">
        <v>0</v>
      </c>
      <c r="D44">
        <v>-1.81</v>
      </c>
      <c r="E44">
        <v>1.81</v>
      </c>
      <c r="F44" s="13"/>
      <c r="H44">
        <f>dipoles[[#This Row],[X]]*$O$2-'q,d_sum'!B44</f>
        <v>0</v>
      </c>
      <c r="I44">
        <f>dipoles[[#This Row],[Y]]*$O$2-'q,d_sum'!C44</f>
        <v>0</v>
      </c>
      <c r="J44">
        <f>dipoles[[#This Row],[Z]]*$O$2-'q,d_sum'!D44</f>
        <v>-2.444613307</v>
      </c>
    </row>
    <row r="45" spans="1:10" x14ac:dyDescent="0.25">
      <c r="A45" t="s">
        <v>45</v>
      </c>
      <c r="B45" t="s">
        <v>88</v>
      </c>
      <c r="C45" t="s">
        <v>87</v>
      </c>
      <c r="D45" t="s">
        <v>122</v>
      </c>
      <c r="E45" t="s">
        <v>122</v>
      </c>
      <c r="F45" s="13"/>
      <c r="H45">
        <f>dipoles[[#This Row],[X]]*$O$2-'q,d_sum'!B45</f>
        <v>0</v>
      </c>
      <c r="I45">
        <f>dipoles[[#This Row],[Y]]*$O$2-'q,d_sum'!C45</f>
        <v>0</v>
      </c>
      <c r="J45">
        <f>dipoles[[#This Row],[Z]]*$O$2-'q,d_sum'!D45</f>
        <v>-1.0231496330999998</v>
      </c>
    </row>
    <row r="46" spans="1:10" x14ac:dyDescent="0.25">
      <c r="A46" t="s">
        <v>46</v>
      </c>
      <c r="B46" t="s">
        <v>87</v>
      </c>
      <c r="C46" t="s">
        <v>87</v>
      </c>
      <c r="D46" t="s">
        <v>123</v>
      </c>
      <c r="E46" t="s">
        <v>123</v>
      </c>
      <c r="F46" s="13"/>
      <c r="H46">
        <f>dipoles[[#This Row],[X]]*$O$2-'q,d_sum'!B46</f>
        <v>0</v>
      </c>
      <c r="I46">
        <f>dipoles[[#This Row],[Y]]*$O$2-'q,d_sum'!C46</f>
        <v>0</v>
      </c>
      <c r="J46">
        <f>dipoles[[#This Row],[Z]]*$O$2-'q,d_sum'!D46</f>
        <v>-1.0455751601999999</v>
      </c>
    </row>
    <row r="47" spans="1:10" x14ac:dyDescent="0.25">
      <c r="A47" t="s">
        <v>47</v>
      </c>
      <c r="B47" t="s">
        <v>87</v>
      </c>
      <c r="C47" t="s">
        <v>87</v>
      </c>
      <c r="D47" t="s">
        <v>124</v>
      </c>
      <c r="E47" t="s">
        <v>124</v>
      </c>
      <c r="F47" s="13"/>
      <c r="H47">
        <f>dipoles[[#This Row],[X]]*$O$2-'q,d_sum'!B47</f>
        <v>0</v>
      </c>
      <c r="I47">
        <f>dipoles[[#This Row],[Y]]*$O$2-'q,d_sum'!C47</f>
        <v>0</v>
      </c>
      <c r="J47">
        <f>dipoles[[#This Row],[Z]]*$O$2-'q,d_sum'!D47</f>
        <v>-1.0112680380399999</v>
      </c>
    </row>
    <row r="48" spans="1:10" x14ac:dyDescent="0.25">
      <c r="A48" t="s">
        <v>48</v>
      </c>
      <c r="B48" t="s">
        <v>88</v>
      </c>
      <c r="C48" t="s">
        <v>88</v>
      </c>
      <c r="D48" t="s">
        <v>125</v>
      </c>
      <c r="E48" t="s">
        <v>125</v>
      </c>
      <c r="F48" s="13"/>
      <c r="H48">
        <f>dipoles[[#This Row],[X]]*$O$2-'q,d_sum'!B48</f>
        <v>0</v>
      </c>
      <c r="I48">
        <f>dipoles[[#This Row],[Y]]*$O$2-'q,d_sum'!C48</f>
        <v>0</v>
      </c>
      <c r="J48">
        <f>dipoles[[#This Row],[Z]]*$O$2-'q,d_sum'!D48</f>
        <v>-1.0275560524599996</v>
      </c>
    </row>
    <row r="49" spans="1:10" x14ac:dyDescent="0.25">
      <c r="A49" t="s">
        <v>49</v>
      </c>
      <c r="B49" t="s">
        <v>88</v>
      </c>
      <c r="C49" t="s">
        <v>88</v>
      </c>
      <c r="D49" t="s">
        <v>123</v>
      </c>
      <c r="E49" t="s">
        <v>123</v>
      </c>
      <c r="F49" s="13"/>
      <c r="H49">
        <f>dipoles[[#This Row],[X]]*$O$2-'q,d_sum'!B49</f>
        <v>0</v>
      </c>
      <c r="I49">
        <f>dipoles[[#This Row],[Y]]*$O$2-'q,d_sum'!C49</f>
        <v>0</v>
      </c>
      <c r="J49">
        <f>dipoles[[#This Row],[Z]]*$O$2-'q,d_sum'!D49</f>
        <v>-1.0455751601999999</v>
      </c>
    </row>
    <row r="50" spans="1:10" x14ac:dyDescent="0.25">
      <c r="A50" t="s">
        <v>50</v>
      </c>
      <c r="B50">
        <v>-1.673</v>
      </c>
      <c r="C50">
        <v>-1.33</v>
      </c>
      <c r="D50">
        <v>0</v>
      </c>
      <c r="E50">
        <v>2.1379999999999999</v>
      </c>
      <c r="F50" s="13"/>
      <c r="H50">
        <f>dipoles[[#This Row],[X]]*$O$2-'q,d_sum'!B50</f>
        <v>-0.65726402690000008</v>
      </c>
      <c r="I50">
        <f>dipoles[[#This Row],[Y]]*$O$2-'q,d_sum'!C50</f>
        <v>-0.52326229900000054</v>
      </c>
      <c r="J50">
        <f>dipoles[[#This Row],[Z]]*$O$2-'q,d_sum'!D50</f>
        <v>0</v>
      </c>
    </row>
    <row r="51" spans="1:10" x14ac:dyDescent="0.25">
      <c r="A51" t="s">
        <v>51</v>
      </c>
      <c r="B51" t="s">
        <v>126</v>
      </c>
      <c r="C51" t="s">
        <v>127</v>
      </c>
      <c r="D51" t="s">
        <v>88</v>
      </c>
      <c r="E51" t="s">
        <v>128</v>
      </c>
      <c r="F51" s="13"/>
      <c r="H51">
        <f>dipoles[[#This Row],[X]]*$O$2-'q,d_sum'!B51</f>
        <v>-0.65647716630000008</v>
      </c>
      <c r="I51">
        <f>dipoles[[#This Row],[Y]]*$O$2-'q,d_sum'!C51</f>
        <v>-0.53833067949000046</v>
      </c>
      <c r="J51">
        <f>dipoles[[#This Row],[Z]]*$O$2-'q,d_sum'!D51</f>
        <v>0</v>
      </c>
    </row>
    <row r="52" spans="1:10" x14ac:dyDescent="0.25">
      <c r="A52" t="s">
        <v>52</v>
      </c>
      <c r="B52" t="s">
        <v>129</v>
      </c>
      <c r="C52" t="s">
        <v>130</v>
      </c>
      <c r="D52" t="s">
        <v>87</v>
      </c>
      <c r="E52" t="s">
        <v>131</v>
      </c>
      <c r="F52" s="13"/>
      <c r="H52">
        <f>dipoles[[#This Row],[X]]*$O$2-'q,d_sum'!B52</f>
        <v>-0.63881214583000012</v>
      </c>
      <c r="I52">
        <f>dipoles[[#This Row],[Y]]*$O$2-'q,d_sum'!C52</f>
        <v>-0.59246668877000042</v>
      </c>
      <c r="J52">
        <f>dipoles[[#This Row],[Z]]*$O$2-'q,d_sum'!D52</f>
        <v>0</v>
      </c>
    </row>
    <row r="53" spans="1:10" x14ac:dyDescent="0.25">
      <c r="A53" t="s">
        <v>53</v>
      </c>
      <c r="B53" t="s">
        <v>132</v>
      </c>
      <c r="C53" t="s">
        <v>133</v>
      </c>
      <c r="D53" t="s">
        <v>88</v>
      </c>
      <c r="E53" t="s">
        <v>134</v>
      </c>
      <c r="F53" s="13"/>
      <c r="H53">
        <f>dipoles[[#This Row],[X]]*$O$2-'q,d_sum'!B53</f>
        <v>-0.66281139413000012</v>
      </c>
      <c r="I53">
        <f>dipoles[[#This Row],[Y]]*$O$2-'q,d_sum'!C53</f>
        <v>-0.49898764949000046</v>
      </c>
      <c r="J53">
        <f>dipoles[[#This Row],[Z]]*$O$2-'q,d_sum'!D53</f>
        <v>0</v>
      </c>
    </row>
    <row r="54" spans="1:10" x14ac:dyDescent="0.25">
      <c r="A54" t="s">
        <v>54</v>
      </c>
      <c r="B54" t="s">
        <v>135</v>
      </c>
      <c r="C54" t="s">
        <v>136</v>
      </c>
      <c r="D54" t="s">
        <v>88</v>
      </c>
      <c r="E54" t="s">
        <v>137</v>
      </c>
      <c r="F54" s="13"/>
      <c r="H54">
        <f>dipoles[[#This Row],[X]]*$O$2-'q,d_sum'!B54</f>
        <v>-0.6494347639300001</v>
      </c>
      <c r="I54">
        <f>dipoles[[#This Row],[Y]]*$O$2-'q,d_sum'!C54</f>
        <v>-0.54006177281000045</v>
      </c>
      <c r="J54">
        <f>dipoles[[#This Row],[Z]]*$O$2-'q,d_sum'!D54</f>
        <v>0</v>
      </c>
    </row>
    <row r="55" spans="1:10" x14ac:dyDescent="0.25">
      <c r="A55" t="s">
        <v>55</v>
      </c>
      <c r="B55" t="s">
        <v>129</v>
      </c>
      <c r="C55" t="s">
        <v>130</v>
      </c>
      <c r="D55" t="s">
        <v>88</v>
      </c>
      <c r="E55" t="s">
        <v>131</v>
      </c>
      <c r="F55" s="13"/>
      <c r="H55">
        <f>dipoles[[#This Row],[X]]*$O$2-'q,d_sum'!B55</f>
        <v>-0.63881214583000012</v>
      </c>
      <c r="I55">
        <f>dipoles[[#This Row],[Y]]*$O$2-'q,d_sum'!C55</f>
        <v>-0.59246668877000042</v>
      </c>
      <c r="J55">
        <f>dipoles[[#This Row],[Z]]*$O$2-'q,d_sum'!D55</f>
        <v>0</v>
      </c>
    </row>
    <row r="56" spans="1:10" x14ac:dyDescent="0.25">
      <c r="A56" t="s">
        <v>56</v>
      </c>
      <c r="B56">
        <v>0</v>
      </c>
      <c r="C56">
        <v>0</v>
      </c>
      <c r="D56">
        <v>0</v>
      </c>
      <c r="E56">
        <v>0</v>
      </c>
      <c r="F56" s="13"/>
      <c r="H56">
        <f>dipoles[[#This Row],[X]]*$O$2-'q,d_sum'!B56</f>
        <v>0</v>
      </c>
      <c r="I56">
        <f>dipoles[[#This Row],[Y]]*$O$2-'q,d_sum'!C56</f>
        <v>0</v>
      </c>
      <c r="J56">
        <f>dipoles[[#This Row],[Z]]*$O$2-'q,d_sum'!D56</f>
        <v>0</v>
      </c>
    </row>
    <row r="57" spans="1:10" x14ac:dyDescent="0.25">
      <c r="A57" t="s">
        <v>57</v>
      </c>
      <c r="B57" t="s">
        <v>88</v>
      </c>
      <c r="C57" t="s">
        <v>88</v>
      </c>
      <c r="D57" t="s">
        <v>88</v>
      </c>
      <c r="E57" t="s">
        <v>87</v>
      </c>
      <c r="F57" s="13"/>
      <c r="H57">
        <f>dipoles[[#This Row],[X]]*$O$2-'q,d_sum'!B57</f>
        <v>0</v>
      </c>
      <c r="I57">
        <f>dipoles[[#This Row],[Y]]*$O$2-'q,d_sum'!C57</f>
        <v>0</v>
      </c>
      <c r="J57">
        <f>dipoles[[#This Row],[Z]]*$O$2-'q,d_sum'!D57</f>
        <v>0</v>
      </c>
    </row>
    <row r="58" spans="1:10" x14ac:dyDescent="0.25">
      <c r="A58" t="s">
        <v>58</v>
      </c>
      <c r="B58" t="s">
        <v>88</v>
      </c>
      <c r="C58" t="s">
        <v>87</v>
      </c>
      <c r="D58" t="s">
        <v>87</v>
      </c>
      <c r="E58" t="s">
        <v>87</v>
      </c>
      <c r="F58" s="13"/>
      <c r="H58">
        <f>dipoles[[#This Row],[X]]*$O$2-'q,d_sum'!B58</f>
        <v>0</v>
      </c>
      <c r="I58">
        <f>dipoles[[#This Row],[Y]]*$O$2-'q,d_sum'!C58</f>
        <v>0</v>
      </c>
      <c r="J58">
        <f>dipoles[[#This Row],[Z]]*$O$2-'q,d_sum'!D58</f>
        <v>0</v>
      </c>
    </row>
    <row r="59" spans="1:10" x14ac:dyDescent="0.25">
      <c r="A59" t="s">
        <v>59</v>
      </c>
      <c r="B59" t="s">
        <v>88</v>
      </c>
      <c r="C59" t="s">
        <v>87</v>
      </c>
      <c r="D59" t="s">
        <v>87</v>
      </c>
      <c r="E59" t="s">
        <v>87</v>
      </c>
      <c r="F59" s="13"/>
      <c r="H59">
        <f>dipoles[[#This Row],[X]]*$O$2-'q,d_sum'!B59</f>
        <v>0</v>
      </c>
      <c r="I59">
        <f>dipoles[[#This Row],[Y]]*$O$2-'q,d_sum'!C59</f>
        <v>0</v>
      </c>
      <c r="J59">
        <f>dipoles[[#This Row],[Z]]*$O$2-'q,d_sum'!D59</f>
        <v>0</v>
      </c>
    </row>
    <row r="60" spans="1:10" x14ac:dyDescent="0.25">
      <c r="A60" t="s">
        <v>60</v>
      </c>
      <c r="B60" t="s">
        <v>87</v>
      </c>
      <c r="C60" t="s">
        <v>87</v>
      </c>
      <c r="D60" t="s">
        <v>87</v>
      </c>
      <c r="E60" t="s">
        <v>87</v>
      </c>
      <c r="F60" s="13"/>
      <c r="H60">
        <f>dipoles[[#This Row],[X]]*$O$2-'q,d_sum'!B60</f>
        <v>0</v>
      </c>
      <c r="I60">
        <f>dipoles[[#This Row],[Y]]*$O$2-'q,d_sum'!C60</f>
        <v>0</v>
      </c>
      <c r="J60">
        <f>dipoles[[#This Row],[Z]]*$O$2-'q,d_sum'!D60</f>
        <v>0</v>
      </c>
    </row>
    <row r="61" spans="1:10" x14ac:dyDescent="0.25">
      <c r="A61" t="s">
        <v>61</v>
      </c>
      <c r="B61" t="s">
        <v>88</v>
      </c>
      <c r="C61" t="s">
        <v>88</v>
      </c>
      <c r="D61" t="s">
        <v>87</v>
      </c>
      <c r="E61" t="s">
        <v>87</v>
      </c>
      <c r="F61" s="13"/>
      <c r="H61">
        <f>dipoles[[#This Row],[X]]*$O$2-'q,d_sum'!B61</f>
        <v>0</v>
      </c>
      <c r="I61">
        <f>dipoles[[#This Row],[Y]]*$O$2-'q,d_sum'!C61</f>
        <v>0</v>
      </c>
      <c r="J61">
        <f>dipoles[[#This Row],[Z]]*$O$2-'q,d_sum'!D61</f>
        <v>0</v>
      </c>
    </row>
    <row r="62" spans="1:10" x14ac:dyDescent="0.25">
      <c r="A62" t="s">
        <v>62</v>
      </c>
      <c r="B62">
        <v>0</v>
      </c>
      <c r="C62">
        <v>0</v>
      </c>
      <c r="D62">
        <v>-1.6539999999999999</v>
      </c>
      <c r="E62">
        <v>1.6539999999999999</v>
      </c>
      <c r="F62" s="13"/>
      <c r="H62">
        <f>dipoles[[#This Row],[X]]*$O$2-'q,d_sum'!B62</f>
        <v>0</v>
      </c>
      <c r="I62">
        <f>dipoles[[#This Row],[Y]]*$O$2-'q,d_sum'!C62</f>
        <v>0</v>
      </c>
      <c r="J62">
        <f>dipoles[[#This Row],[Z]]*$O$2-'q,d_sum'!D62</f>
        <v>-15.310503164199998</v>
      </c>
    </row>
    <row r="63" spans="1:10" x14ac:dyDescent="0.25">
      <c r="A63" t="s">
        <v>63</v>
      </c>
      <c r="B63" t="s">
        <v>87</v>
      </c>
      <c r="C63" t="s">
        <v>88</v>
      </c>
      <c r="D63" t="s">
        <v>138</v>
      </c>
      <c r="E63" t="s">
        <v>139</v>
      </c>
      <c r="F63" s="13"/>
      <c r="H63">
        <f>dipoles[[#This Row],[X]]*$O$2-'q,d_sum'!B63</f>
        <v>0</v>
      </c>
      <c r="I63">
        <f>dipoles[[#This Row],[Y]]*$O$2-'q,d_sum'!C63</f>
        <v>0</v>
      </c>
      <c r="J63">
        <f>dipoles[[#This Row],[Z]]*$O$2-'q,d_sum'!D63</f>
        <v>-15.308496669669999</v>
      </c>
    </row>
    <row r="64" spans="1:10" x14ac:dyDescent="0.25">
      <c r="A64" t="s">
        <v>64</v>
      </c>
      <c r="B64" t="s">
        <v>87</v>
      </c>
      <c r="C64" t="s">
        <v>88</v>
      </c>
      <c r="D64" t="s">
        <v>140</v>
      </c>
      <c r="E64" t="s">
        <v>141</v>
      </c>
      <c r="F64" s="13"/>
      <c r="H64">
        <f>dipoles[[#This Row],[X]]*$O$2-'q,d_sum'!B64</f>
        <v>0</v>
      </c>
      <c r="I64">
        <f>dipoles[[#This Row],[Y]]*$O$2-'q,d_sum'!C64</f>
        <v>0</v>
      </c>
      <c r="J64">
        <f>dipoles[[#This Row],[Z]]*$O$2-'q,d_sum'!D64</f>
        <v>-15.286858003169998</v>
      </c>
    </row>
    <row r="65" spans="1:10" x14ac:dyDescent="0.25">
      <c r="A65" t="s">
        <v>65</v>
      </c>
      <c r="B65" t="s">
        <v>88</v>
      </c>
      <c r="C65" t="s">
        <v>88</v>
      </c>
      <c r="D65" t="s">
        <v>142</v>
      </c>
      <c r="E65" t="s">
        <v>143</v>
      </c>
      <c r="F65" s="13"/>
      <c r="H65">
        <f>dipoles[[#This Row],[X]]*$O$2-'q,d_sum'!B65</f>
        <v>0</v>
      </c>
      <c r="I65">
        <f>dipoles[[#This Row],[Y]]*$O$2-'q,d_sum'!C65</f>
        <v>0</v>
      </c>
      <c r="J65">
        <f>dipoles[[#This Row],[Z]]*$O$2-'q,d_sum'!D65</f>
        <v>-15.320614322909998</v>
      </c>
    </row>
    <row r="66" spans="1:10" x14ac:dyDescent="0.25">
      <c r="A66" t="s">
        <v>66</v>
      </c>
      <c r="B66" t="s">
        <v>87</v>
      </c>
      <c r="C66" t="s">
        <v>87</v>
      </c>
      <c r="D66" t="s">
        <v>144</v>
      </c>
      <c r="E66" t="s">
        <v>145</v>
      </c>
      <c r="F66" s="13"/>
      <c r="H66">
        <f>dipoles[[#This Row],[X]]*$O$2-'q,d_sum'!B66</f>
        <v>0</v>
      </c>
      <c r="I66">
        <f>dipoles[[#This Row],[Y]]*$O$2-'q,d_sum'!C66</f>
        <v>0</v>
      </c>
      <c r="J66">
        <f>dipoles[[#This Row],[Z]]*$O$2-'q,d_sum'!D66</f>
        <v>-15.305742657569999</v>
      </c>
    </row>
    <row r="67" spans="1:10" x14ac:dyDescent="0.25">
      <c r="A67" t="s">
        <v>67</v>
      </c>
      <c r="B67" t="s">
        <v>87</v>
      </c>
      <c r="C67" t="s">
        <v>88</v>
      </c>
      <c r="D67" t="s">
        <v>140</v>
      </c>
      <c r="E67" t="s">
        <v>141</v>
      </c>
      <c r="F67" s="13"/>
      <c r="H67">
        <f>dipoles[[#This Row],[X]]*$O$2-'q,d_sum'!B67</f>
        <v>0</v>
      </c>
      <c r="I67">
        <f>dipoles[[#This Row],[Y]]*$O$2-'q,d_sum'!C67</f>
        <v>0</v>
      </c>
      <c r="J67">
        <f>dipoles[[#This Row],[Z]]*$O$2-'q,d_sum'!D67</f>
        <v>-15.286858003169998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6EFF-4988-A141-B36B-6901B610A736}">
  <dimension ref="A1:N67"/>
  <sheetViews>
    <sheetView workbookViewId="0">
      <selection activeCell="B2" sqref="B2"/>
    </sheetView>
  </sheetViews>
  <sheetFormatPr defaultColWidth="11.42578125" defaultRowHeight="15" x14ac:dyDescent="0.25"/>
  <cols>
    <col min="1" max="1" width="10.28515625" bestFit="1" customWidth="1"/>
    <col min="2" max="2" width="8.7109375" bestFit="1" customWidth="1"/>
    <col min="3" max="3" width="7.140625" bestFit="1" customWidth="1"/>
    <col min="4" max="4" width="8.7109375" bestFit="1" customWidth="1"/>
    <col min="5" max="6" width="7.7109375" bestFit="1" customWidth="1"/>
    <col min="7" max="7" width="12.7109375" bestFit="1" customWidth="1"/>
    <col min="9" max="9" width="14.5703125" bestFit="1" customWidth="1"/>
    <col min="14" max="14" width="16.42578125" bestFit="1" customWidth="1"/>
  </cols>
  <sheetData>
    <row r="1" spans="1:14" x14ac:dyDescent="0.25">
      <c r="B1" t="s">
        <v>69</v>
      </c>
      <c r="C1" t="s">
        <v>75</v>
      </c>
      <c r="D1" t="s">
        <v>71</v>
      </c>
      <c r="E1" t="s">
        <v>76</v>
      </c>
      <c r="F1" t="s">
        <v>216</v>
      </c>
      <c r="G1" t="s">
        <v>73</v>
      </c>
      <c r="I1" t="s">
        <v>148</v>
      </c>
      <c r="J1" t="s">
        <v>69</v>
      </c>
      <c r="K1" t="s">
        <v>71</v>
      </c>
      <c r="L1" t="s">
        <v>73</v>
      </c>
      <c r="N1" t="s">
        <v>180</v>
      </c>
    </row>
    <row r="2" spans="1:14" x14ac:dyDescent="0.25">
      <c r="A2" s="1" t="s">
        <v>1</v>
      </c>
      <c r="B2">
        <f>(energies!C2-energies!D2)/(2*$N$5)*$N$2</f>
        <v>-12.967346532310094</v>
      </c>
      <c r="C2">
        <v>0</v>
      </c>
      <c r="D2">
        <f>(energies!E2-energies!F2)/(2*$N$5)*$N$2</f>
        <v>-12.967346532310094</v>
      </c>
      <c r="E2">
        <v>0</v>
      </c>
      <c r="F2">
        <v>0</v>
      </c>
      <c r="G2">
        <f>(energies!G2-energies!H2)/(2*$N$5)*$N$2</f>
        <v>-8.9708896875398985</v>
      </c>
      <c r="J2">
        <f>B2*$N$2-'q,d_sum'!E2</f>
        <v>-17.441517683547474</v>
      </c>
      <c r="K2">
        <f>D2*$N$2-'q,d_sum'!F2</f>
        <v>-17.441517683547474</v>
      </c>
      <c r="L2">
        <f>G2*$N$2-'q,d_sum'!G2</f>
        <v>-47.68550858803205</v>
      </c>
      <c r="N2">
        <v>1.345033669</v>
      </c>
    </row>
    <row r="3" spans="1:14" x14ac:dyDescent="0.25">
      <c r="A3" s="1" t="s">
        <v>2</v>
      </c>
      <c r="B3">
        <f>(energies!C3-energies!D3)/(2*$N$5)*$N$2</f>
        <v>-12.887027846642841</v>
      </c>
      <c r="C3">
        <v>0</v>
      </c>
      <c r="D3">
        <v>-12.887</v>
      </c>
      <c r="E3">
        <v>0</v>
      </c>
      <c r="F3">
        <v>0</v>
      </c>
      <c r="G3">
        <v>-8.9178999999999995</v>
      </c>
      <c r="J3">
        <f>B3*$N$2-'q,d_sum'!E3</f>
        <v>-17.333486347075191</v>
      </c>
      <c r="K3">
        <f>D3*$N$2-'q,d_sum'!F3</f>
        <v>-17.333448892403002</v>
      </c>
      <c r="L3">
        <f>G3*$N$2-'q,d_sum'!G3</f>
        <v>-47.614235674181096</v>
      </c>
    </row>
    <row r="4" spans="1:14" x14ac:dyDescent="0.25">
      <c r="A4" s="1" t="s">
        <v>3</v>
      </c>
      <c r="B4">
        <f>(energies!C4-energies!D4)/(2*$N$5)*$N$2</f>
        <v>-12.900973828258865</v>
      </c>
      <c r="C4">
        <v>0</v>
      </c>
      <c r="D4">
        <v>-12.901</v>
      </c>
      <c r="E4">
        <v>0</v>
      </c>
      <c r="F4">
        <v>0</v>
      </c>
      <c r="G4">
        <v>-9.1582000000000008</v>
      </c>
      <c r="J4">
        <f>B4*$N$2-'q,d_sum'!E4</f>
        <v>-17.352244161895996</v>
      </c>
      <c r="K4">
        <f>D4*$N$2-'q,d_sum'!F4</f>
        <v>-17.352279363769</v>
      </c>
      <c r="L4">
        <f>G4*$N$2-'q,d_sum'!G4</f>
        <v>-47.937447264841794</v>
      </c>
      <c r="N4" t="s">
        <v>159</v>
      </c>
    </row>
    <row r="5" spans="1:14" x14ac:dyDescent="0.25">
      <c r="A5" s="1" t="s">
        <v>4</v>
      </c>
      <c r="B5">
        <f>(energies!C5-energies!D5)/(2*$N$5)*$N$2</f>
        <v>-12.866432691119329</v>
      </c>
      <c r="C5">
        <v>0</v>
      </c>
      <c r="D5">
        <v>-12.866400000000001</v>
      </c>
      <c r="E5">
        <v>0</v>
      </c>
      <c r="F5">
        <v>0</v>
      </c>
      <c r="G5">
        <v>-8.7861999999999991</v>
      </c>
      <c r="J5">
        <f>B5*$N$2-'q,d_sum'!E5</f>
        <v>-17.305785169477772</v>
      </c>
      <c r="K5">
        <f>D5*$N$2-'q,d_sum'!F5</f>
        <v>-17.3057411988216</v>
      </c>
      <c r="L5">
        <f>G5*$N$2-'q,d_sum'!G5</f>
        <v>-47.437094739973794</v>
      </c>
      <c r="N5">
        <v>1E-4</v>
      </c>
    </row>
    <row r="6" spans="1:14" x14ac:dyDescent="0.25">
      <c r="A6" s="1" t="s">
        <v>5</v>
      </c>
      <c r="B6">
        <f>(energies!C6-energies!D6)/(2*$N$5)*$N$2</f>
        <v>-12.830028682456913</v>
      </c>
      <c r="C6">
        <v>0</v>
      </c>
      <c r="D6">
        <v>-12.83</v>
      </c>
      <c r="E6">
        <v>0</v>
      </c>
      <c r="F6">
        <v>0</v>
      </c>
      <c r="G6">
        <v>-8.8821999999999992</v>
      </c>
      <c r="J6">
        <f>B6*$N$2-'q,d_sum'!E6</f>
        <v>-17.256820552140258</v>
      </c>
      <c r="K6">
        <f>D6*$N$2-'q,d_sum'!F6</f>
        <v>-17.256781973270002</v>
      </c>
      <c r="L6">
        <f>G6*$N$2-'q,d_sum'!G6</f>
        <v>-47.566217972197791</v>
      </c>
    </row>
    <row r="7" spans="1:14" x14ac:dyDescent="0.25">
      <c r="A7" s="1" t="s">
        <v>6</v>
      </c>
      <c r="B7">
        <f>(energies!C7-energies!D7)/(2*$N$5)*$N$2</f>
        <v>-12.900973828258865</v>
      </c>
      <c r="C7">
        <v>0</v>
      </c>
      <c r="D7">
        <v>-12.901</v>
      </c>
      <c r="E7">
        <v>0</v>
      </c>
      <c r="F7">
        <v>0</v>
      </c>
      <c r="G7">
        <v>-9.1582000000000008</v>
      </c>
      <c r="J7">
        <f>B7*$N$2-'q,d_sum'!E7</f>
        <v>-17.352244161895996</v>
      </c>
      <c r="K7">
        <f>D7*$N$2-'q,d_sum'!F7</f>
        <v>-17.352279363769</v>
      </c>
      <c r="L7">
        <f>G7*$N$2-'q,d_sum'!G7</f>
        <v>-47.937447264841794</v>
      </c>
    </row>
    <row r="8" spans="1:14" x14ac:dyDescent="0.25">
      <c r="A8" s="1" t="s">
        <v>7</v>
      </c>
      <c r="B8">
        <f>(energies!C8-energies!D8)/(2*$N$5)*$N$2</f>
        <v>-8.4109420834637802</v>
      </c>
      <c r="C8">
        <v>0</v>
      </c>
      <c r="D8">
        <f>(energies!E8-energies!F8)/(2*$N$5)*$N$2</f>
        <v>-8.4109420834637802</v>
      </c>
      <c r="E8">
        <v>0</v>
      </c>
      <c r="F8">
        <v>0</v>
      </c>
      <c r="G8">
        <f>(energies!G8-energies!H8)/(2*$N$5)*$N$2</f>
        <v>-8.4109420834637802</v>
      </c>
      <c r="J8">
        <f>B8*$N$2-'q,d_sum'!E8</f>
        <v>-16.939332561810691</v>
      </c>
      <c r="K8">
        <f>D8*$N$2-'q,d_sum'!F8</f>
        <v>-16.939332561810691</v>
      </c>
      <c r="L8">
        <f>G8*$N$2-'q,d_sum'!G8</f>
        <v>-16.939332561810691</v>
      </c>
    </row>
    <row r="9" spans="1:14" x14ac:dyDescent="0.25">
      <c r="A9" s="1" t="s">
        <v>8</v>
      </c>
      <c r="B9">
        <v>-8.3941999999999997</v>
      </c>
      <c r="C9">
        <v>0</v>
      </c>
      <c r="D9">
        <v>-8.3941999999999997</v>
      </c>
      <c r="E9">
        <v>0</v>
      </c>
      <c r="F9">
        <v>0</v>
      </c>
      <c r="G9">
        <v>-8.3941999999999997</v>
      </c>
      <c r="J9">
        <f>B9*$N$2-'q,d_sum'!E9</f>
        <v>-16.916813895862695</v>
      </c>
      <c r="K9">
        <f>D9*$N$2-'q,d_sum'!F9</f>
        <v>-16.916813895862695</v>
      </c>
      <c r="L9">
        <f>G9*$N$2-'q,d_sum'!G9</f>
        <v>-16.916813895862695</v>
      </c>
    </row>
    <row r="10" spans="1:14" x14ac:dyDescent="0.25">
      <c r="A10" s="1" t="s">
        <v>9</v>
      </c>
      <c r="B10">
        <v>-8.4939</v>
      </c>
      <c r="C10">
        <v>0</v>
      </c>
      <c r="D10">
        <v>-8.4939</v>
      </c>
      <c r="E10">
        <v>0</v>
      </c>
      <c r="F10">
        <v>0</v>
      </c>
      <c r="G10">
        <v>-8.4939</v>
      </c>
      <c r="J10">
        <f>B10*$N$2-'q,d_sum'!E10</f>
        <v>-17.050913752661998</v>
      </c>
      <c r="K10">
        <f>D10*$N$2-'q,d_sum'!F10</f>
        <v>-17.050913752661998</v>
      </c>
      <c r="L10">
        <f>G10*$N$2-'q,d_sum'!G10</f>
        <v>-17.050913752661998</v>
      </c>
    </row>
    <row r="11" spans="1:14" x14ac:dyDescent="0.25">
      <c r="A11" s="1" t="s">
        <v>10</v>
      </c>
      <c r="B11">
        <v>-8.3469999999999995</v>
      </c>
      <c r="C11">
        <v>0</v>
      </c>
      <c r="D11">
        <v>-8.3469999999999995</v>
      </c>
      <c r="E11">
        <v>0</v>
      </c>
      <c r="F11">
        <v>0</v>
      </c>
      <c r="G11">
        <v>-8.3469999999999995</v>
      </c>
      <c r="J11">
        <f>B11*$N$2-'q,d_sum'!E11</f>
        <v>-16.853328306685896</v>
      </c>
      <c r="K11">
        <f>D11*$N$2-'q,d_sum'!F11</f>
        <v>-16.853328306685896</v>
      </c>
      <c r="L11">
        <f>G11*$N$2-'q,d_sum'!G11</f>
        <v>-16.853328306685896</v>
      </c>
    </row>
    <row r="12" spans="1:14" x14ac:dyDescent="0.25">
      <c r="A12" s="1" t="s">
        <v>11</v>
      </c>
      <c r="B12">
        <v>-8.3782999999999994</v>
      </c>
      <c r="C12">
        <v>0</v>
      </c>
      <c r="D12">
        <v>-8.3782999999999994</v>
      </c>
      <c r="E12">
        <v>0</v>
      </c>
      <c r="F12">
        <v>0</v>
      </c>
      <c r="G12">
        <v>-8.3782999999999994</v>
      </c>
      <c r="J12">
        <f>B12*$N$2-'q,d_sum'!E12</f>
        <v>-16.895427860525597</v>
      </c>
      <c r="K12">
        <f>D12*$N$2-'q,d_sum'!F12</f>
        <v>-16.895427860525597</v>
      </c>
      <c r="L12">
        <f>G12*$N$2-'q,d_sum'!G12</f>
        <v>-16.895427860525597</v>
      </c>
    </row>
    <row r="13" spans="1:14" x14ac:dyDescent="0.25">
      <c r="A13" s="1" t="s">
        <v>12</v>
      </c>
      <c r="B13">
        <v>-8.4939</v>
      </c>
      <c r="C13">
        <v>0</v>
      </c>
      <c r="D13">
        <v>-8.4939</v>
      </c>
      <c r="E13">
        <v>0</v>
      </c>
      <c r="F13">
        <v>0</v>
      </c>
      <c r="G13">
        <v>-8.4939</v>
      </c>
      <c r="J13">
        <f>B13*$N$2-'q,d_sum'!E13</f>
        <v>-17.050913752661998</v>
      </c>
      <c r="K13">
        <f>D13*$N$2-'q,d_sum'!F13</f>
        <v>-17.050913752661998</v>
      </c>
      <c r="L13">
        <f>G13*$N$2-'q,d_sum'!G13</f>
        <v>-17.050913752661998</v>
      </c>
    </row>
    <row r="14" spans="1:14" x14ac:dyDescent="0.25">
      <c r="A14" s="1" t="s">
        <v>13</v>
      </c>
      <c r="B14">
        <f>(energies!C14-energies!D14)/(2*$N$5)*$N$2</f>
        <v>-11.043128587497193</v>
      </c>
      <c r="C14">
        <v>0</v>
      </c>
      <c r="D14">
        <f>(energies!E14-energies!F14)/(2*$N$5)*$N$2</f>
        <v>-11.043128587497193</v>
      </c>
      <c r="E14">
        <v>0</v>
      </c>
      <c r="F14">
        <v>0</v>
      </c>
      <c r="G14">
        <f>(energies!G14-energies!H14)/(2*$N$5)*$N$2</f>
        <v>-8.0484333166635729</v>
      </c>
      <c r="J14">
        <f>B14*$N$2-'q,d_sum'!E14</f>
        <v>-14.853379761280138</v>
      </c>
      <c r="K14">
        <f>D14*$N$2-'q,d_sum'!F14</f>
        <v>-14.853379761280138</v>
      </c>
      <c r="L14">
        <f>G14*$N$2-'q,d_sum'!G14</f>
        <v>-40.246435678554789</v>
      </c>
    </row>
    <row r="15" spans="1:14" x14ac:dyDescent="0.25">
      <c r="A15" s="1" t="s">
        <v>14</v>
      </c>
      <c r="B15">
        <v>-11.032299999999999</v>
      </c>
      <c r="C15">
        <v>0</v>
      </c>
      <c r="D15">
        <v>-11.032299999999999</v>
      </c>
      <c r="E15">
        <v>0</v>
      </c>
      <c r="F15">
        <v>0</v>
      </c>
      <c r="G15">
        <v>-8.7606999999999999</v>
      </c>
      <c r="J15">
        <f>B15*$N$2-'q,d_sum'!E15</f>
        <v>-14.838814946508698</v>
      </c>
      <c r="K15">
        <f>D15*$N$2-'q,d_sum'!F15</f>
        <v>-14.838814946508698</v>
      </c>
      <c r="L15">
        <f>G15*$N$2-'q,d_sum'!G15</f>
        <v>-41.204458348949245</v>
      </c>
    </row>
    <row r="16" spans="1:14" x14ac:dyDescent="0.25">
      <c r="A16" s="1" t="s">
        <v>15</v>
      </c>
      <c r="B16">
        <v>-11.054399999999999</v>
      </c>
      <c r="C16">
        <v>0</v>
      </c>
      <c r="D16">
        <v>-11.054399999999999</v>
      </c>
      <c r="E16">
        <v>0</v>
      </c>
      <c r="F16">
        <v>0</v>
      </c>
      <c r="G16">
        <v>-9.3232999999999997</v>
      </c>
      <c r="J16">
        <f>B16*$N$2-'q,d_sum'!E16</f>
        <v>-14.868540190593599</v>
      </c>
      <c r="K16">
        <f>D16*$N$2-'q,d_sum'!F16</f>
        <v>-14.868540190593599</v>
      </c>
      <c r="L16">
        <f>G16*$N$2-'q,d_sum'!G16</f>
        <v>-41.961174291128643</v>
      </c>
    </row>
    <row r="17" spans="1:12" x14ac:dyDescent="0.25">
      <c r="A17" s="1" t="s">
        <v>16</v>
      </c>
      <c r="B17">
        <v>-10.9977</v>
      </c>
      <c r="C17">
        <v>0</v>
      </c>
      <c r="D17">
        <v>-10.9977</v>
      </c>
      <c r="E17">
        <v>0</v>
      </c>
      <c r="F17">
        <v>0</v>
      </c>
      <c r="G17">
        <v>-8.3958999999999993</v>
      </c>
      <c r="J17">
        <f>B17*$N$2-'q,d_sum'!E17</f>
        <v>-14.7922767815613</v>
      </c>
      <c r="K17">
        <f>D17*$N$2-'q,d_sum'!F17</f>
        <v>-14.7922767815613</v>
      </c>
      <c r="L17">
        <f>G17*$N$2-'q,d_sum'!G17</f>
        <v>-40.713790066498042</v>
      </c>
    </row>
    <row r="18" spans="1:12" x14ac:dyDescent="0.25">
      <c r="A18" s="1" t="s">
        <v>17</v>
      </c>
      <c r="B18">
        <v>-10.9701</v>
      </c>
      <c r="C18">
        <v>0</v>
      </c>
      <c r="D18">
        <v>-10.9701</v>
      </c>
      <c r="E18">
        <v>0</v>
      </c>
      <c r="F18">
        <v>0</v>
      </c>
      <c r="G18">
        <v>-8.7925000000000004</v>
      </c>
      <c r="J18">
        <f>B18*$N$2-'q,d_sum'!E18</f>
        <v>-14.7551538522969</v>
      </c>
      <c r="K18">
        <f>D18*$N$2-'q,d_sum'!F18</f>
        <v>-14.7551538522969</v>
      </c>
      <c r="L18">
        <f>G18*$N$2-'q,d_sum'!G18</f>
        <v>-41.247230419623442</v>
      </c>
    </row>
    <row r="19" spans="1:12" x14ac:dyDescent="0.25">
      <c r="A19" s="1" t="s">
        <v>18</v>
      </c>
      <c r="B19">
        <v>-11.054399999999999</v>
      </c>
      <c r="C19">
        <v>0</v>
      </c>
      <c r="D19">
        <v>-11.054399999999999</v>
      </c>
      <c r="E19">
        <v>0</v>
      </c>
      <c r="F19">
        <v>0</v>
      </c>
      <c r="G19">
        <v>-9.3232999999999997</v>
      </c>
      <c r="J19">
        <f>B19*$N$2-'q,d_sum'!E19</f>
        <v>-14.868540190593599</v>
      </c>
      <c r="K19">
        <f>D19*$N$2-'q,d_sum'!F19</f>
        <v>-14.868540190593599</v>
      </c>
      <c r="L19">
        <f>G19*$N$2-'q,d_sum'!G19</f>
        <v>-41.961174291128643</v>
      </c>
    </row>
    <row r="20" spans="1:12" x14ac:dyDescent="0.25">
      <c r="A20" s="1" t="s">
        <v>19</v>
      </c>
      <c r="B20">
        <f>(energies!C20-energies!D20)/(2*$N$5)*$N$2</f>
        <v>-14.814997762743843</v>
      </c>
      <c r="C20">
        <v>0</v>
      </c>
      <c r="D20">
        <f>(energies!E20-energies!F20)/(2*$N$5)*$N$2</f>
        <v>-14.814997762743843</v>
      </c>
      <c r="E20">
        <v>0</v>
      </c>
      <c r="F20">
        <v>0</v>
      </c>
      <c r="G20">
        <f>(energies!G20-energies!H20)/(2*$N$5)*$N$2</f>
        <v>-19.948552123801562</v>
      </c>
      <c r="J20">
        <f>B20*$N$2-'q,d_sum'!E20</f>
        <v>-19.926670797050143</v>
      </c>
      <c r="K20">
        <f>D20*$N$2-'q,d_sum'!F20</f>
        <v>-19.926670797050143</v>
      </c>
      <c r="L20">
        <f>G20*$N$2-'q,d_sum'!G20</f>
        <v>-103.99401163650114</v>
      </c>
    </row>
    <row r="21" spans="1:12" x14ac:dyDescent="0.25">
      <c r="A21" s="1" t="s">
        <v>20</v>
      </c>
      <c r="B21">
        <v>-14.8102</v>
      </c>
      <c r="C21">
        <v>0</v>
      </c>
      <c r="D21">
        <v>-14.8102</v>
      </c>
      <c r="E21">
        <v>0</v>
      </c>
      <c r="F21">
        <v>0</v>
      </c>
      <c r="G21">
        <v>-19.166799999999999</v>
      </c>
      <c r="J21">
        <f>B21*$N$2-'q,d_sum'!E21</f>
        <v>-19.920217644623801</v>
      </c>
      <c r="K21">
        <f>D21*$N$2-'q,d_sum'!F21</f>
        <v>-19.920217644623801</v>
      </c>
      <c r="L21">
        <f>G21*$N$2-'q,d_sum'!G21</f>
        <v>-102.94252870917578</v>
      </c>
    </row>
    <row r="22" spans="1:12" x14ac:dyDescent="0.25">
      <c r="A22" s="1" t="s">
        <v>21</v>
      </c>
      <c r="B22">
        <v>-14.8972</v>
      </c>
      <c r="C22">
        <v>0</v>
      </c>
      <c r="D22">
        <v>-14.8972</v>
      </c>
      <c r="E22">
        <v>0</v>
      </c>
      <c r="F22">
        <v>0</v>
      </c>
      <c r="G22">
        <v>-19.055900000000001</v>
      </c>
      <c r="J22">
        <f>B22*$N$2-'q,d_sum'!E22</f>
        <v>-20.037235573826798</v>
      </c>
      <c r="K22">
        <f>D22*$N$2-'q,d_sum'!F22</f>
        <v>-20.037235573826798</v>
      </c>
      <c r="L22">
        <f>G22*$N$2-'q,d_sum'!G22</f>
        <v>-102.79336447528368</v>
      </c>
    </row>
    <row r="23" spans="1:12" x14ac:dyDescent="0.25">
      <c r="A23" s="1" t="s">
        <v>22</v>
      </c>
      <c r="B23">
        <v>-14.7407</v>
      </c>
      <c r="C23">
        <v>0</v>
      </c>
      <c r="D23">
        <v>-14.7407</v>
      </c>
      <c r="E23">
        <v>0</v>
      </c>
      <c r="F23">
        <v>0</v>
      </c>
      <c r="G23">
        <v>-19.204599999999999</v>
      </c>
      <c r="J23">
        <f>B23*$N$2-'q,d_sum'!E23</f>
        <v>-19.826737804628301</v>
      </c>
      <c r="K23">
        <f>D23*$N$2-'q,d_sum'!F23</f>
        <v>-19.826737804628301</v>
      </c>
      <c r="L23">
        <f>G23*$N$2-'q,d_sum'!G23</f>
        <v>-102.99337098186399</v>
      </c>
    </row>
    <row r="24" spans="1:12" x14ac:dyDescent="0.25">
      <c r="A24" s="1" t="s">
        <v>23</v>
      </c>
      <c r="B24">
        <v>-14.753500000000001</v>
      </c>
      <c r="C24">
        <v>0</v>
      </c>
      <c r="D24">
        <v>-14.753500000000001</v>
      </c>
      <c r="E24">
        <v>0</v>
      </c>
      <c r="F24">
        <v>0</v>
      </c>
      <c r="G24">
        <v>-19.075600000000001</v>
      </c>
      <c r="J24">
        <f>B24*$N$2-'q,d_sum'!E24</f>
        <v>-19.8439542355915</v>
      </c>
      <c r="K24">
        <f>D24*$N$2-'q,d_sum'!F24</f>
        <v>-19.8439542355915</v>
      </c>
      <c r="L24">
        <f>G24*$N$2-'q,d_sum'!G24</f>
        <v>-102.81986163856298</v>
      </c>
    </row>
    <row r="25" spans="1:12" x14ac:dyDescent="0.25">
      <c r="A25" s="1" t="s">
        <v>24</v>
      </c>
      <c r="B25">
        <v>-14.8972</v>
      </c>
      <c r="C25">
        <v>0</v>
      </c>
      <c r="D25">
        <v>-14.8972</v>
      </c>
      <c r="E25">
        <v>0</v>
      </c>
      <c r="F25">
        <v>0</v>
      </c>
      <c r="G25">
        <v>-19.055900000000001</v>
      </c>
      <c r="J25">
        <f>B25*$N$2-'q,d_sum'!E25</f>
        <v>-20.037235573826798</v>
      </c>
      <c r="K25">
        <f>D25*$N$2-'q,d_sum'!F25</f>
        <v>-20.037235573826798</v>
      </c>
      <c r="L25">
        <f>G25*$N$2-'q,d_sum'!G25</f>
        <v>-102.79336447528368</v>
      </c>
    </row>
    <row r="26" spans="1:12" x14ac:dyDescent="0.25">
      <c r="A26" s="1" t="s">
        <v>25</v>
      </c>
      <c r="B26">
        <f>(energies!C26-energies!D26)/(2*$N$5)*$N$2</f>
        <v>-10.219991520229261</v>
      </c>
      <c r="C26">
        <v>0</v>
      </c>
      <c r="D26">
        <f>(energies!E26-energies!F26)/(2*$N$5)*$N$2</f>
        <v>-10.219991520229261</v>
      </c>
      <c r="E26">
        <v>0</v>
      </c>
      <c r="F26">
        <v>0</v>
      </c>
      <c r="G26">
        <f>(energies!G26-energies!H26)/(2*$N$5)*$N$2</f>
        <v>-12.636292050290908</v>
      </c>
      <c r="J26">
        <f>B26*$N$2-'q,d_sum'!E26</f>
        <v>-13.746232691602851</v>
      </c>
      <c r="K26">
        <f>D26*$N$2-'q,d_sum'!F26</f>
        <v>-13.746232691602851</v>
      </c>
      <c r="L26">
        <f>G26*$N$2-'q,d_sum'!G26</f>
        <v>-53.359404642540269</v>
      </c>
    </row>
    <row r="27" spans="1:12" x14ac:dyDescent="0.25">
      <c r="A27" s="1" t="s">
        <v>26</v>
      </c>
      <c r="B27" s="3" t="s">
        <v>149</v>
      </c>
      <c r="C27" s="3" t="s">
        <v>88</v>
      </c>
      <c r="D27" s="3" t="s">
        <v>149</v>
      </c>
      <c r="E27" s="3" t="s">
        <v>88</v>
      </c>
      <c r="F27" s="3" t="s">
        <v>87</v>
      </c>
      <c r="G27" s="4" t="s">
        <v>150</v>
      </c>
      <c r="J27">
        <f>B27*$N$2-'q,d_sum'!E27</f>
        <v>-13.785922590415499</v>
      </c>
      <c r="K27">
        <f>D27*$N$2-'q,d_sum'!F27</f>
        <v>-13.785922590415499</v>
      </c>
      <c r="L27">
        <f>G27*$N$2-'q,d_sum'!G27</f>
        <v>-52.658114780150058</v>
      </c>
    </row>
    <row r="28" spans="1:12" x14ac:dyDescent="0.25">
      <c r="A28" s="1" t="s">
        <v>28</v>
      </c>
      <c r="B28" s="5" t="s">
        <v>151</v>
      </c>
      <c r="C28" s="5" t="s">
        <v>87</v>
      </c>
      <c r="D28" s="5" t="s">
        <v>151</v>
      </c>
      <c r="E28" s="5" t="s">
        <v>88</v>
      </c>
      <c r="F28" s="5" t="s">
        <v>88</v>
      </c>
      <c r="G28" s="6" t="s">
        <v>152</v>
      </c>
      <c r="J28">
        <f>B28*$N$2-'q,d_sum'!E28</f>
        <v>-13.903075022985401</v>
      </c>
      <c r="K28">
        <f>D28*$N$2-'q,d_sum'!F28</f>
        <v>-13.903075022985401</v>
      </c>
      <c r="L28">
        <f>G28*$N$2-'q,d_sum'!G28</f>
        <v>-52.585482962024059</v>
      </c>
    </row>
    <row r="29" spans="1:12" x14ac:dyDescent="0.25">
      <c r="A29" s="1" t="s">
        <v>29</v>
      </c>
      <c r="B29" s="3" t="s">
        <v>153</v>
      </c>
      <c r="C29" s="3" t="s">
        <v>88</v>
      </c>
      <c r="D29" s="3" t="s">
        <v>153</v>
      </c>
      <c r="E29" s="3" t="s">
        <v>88</v>
      </c>
      <c r="F29" s="3" t="s">
        <v>88</v>
      </c>
      <c r="G29" s="4" t="s">
        <v>154</v>
      </c>
      <c r="J29">
        <f>B29*$N$2-'q,d_sum'!E29</f>
        <v>-13.712214745354299</v>
      </c>
      <c r="K29">
        <f>D29*$N$2-'q,d_sum'!F29</f>
        <v>-13.712214745354299</v>
      </c>
      <c r="L29">
        <f>G29*$N$2-'q,d_sum'!G29</f>
        <v>-52.705056455198161</v>
      </c>
    </row>
    <row r="30" spans="1:12" x14ac:dyDescent="0.25">
      <c r="A30" s="1" t="s">
        <v>30</v>
      </c>
      <c r="B30" s="5" t="s">
        <v>155</v>
      </c>
      <c r="C30" s="5" t="s">
        <v>88</v>
      </c>
      <c r="D30" s="5" t="s">
        <v>155</v>
      </c>
      <c r="E30" s="5" t="s">
        <v>88</v>
      </c>
      <c r="F30" s="5" t="s">
        <v>87</v>
      </c>
      <c r="G30" s="6" t="s">
        <v>156</v>
      </c>
      <c r="J30">
        <f>B30*$N$2-'q,d_sum'!E30</f>
        <v>-13.742343499539901</v>
      </c>
      <c r="K30">
        <f>D30*$N$2-'q,d_sum'!F30</f>
        <v>-13.742343499539901</v>
      </c>
      <c r="L30">
        <f>G30*$N$2-'q,d_sum'!G30</f>
        <v>-52.609828071432958</v>
      </c>
    </row>
    <row r="31" spans="1:12" x14ac:dyDescent="0.25">
      <c r="A31" s="1" t="s">
        <v>31</v>
      </c>
      <c r="B31" s="3" t="s">
        <v>157</v>
      </c>
      <c r="C31" s="3" t="s">
        <v>88</v>
      </c>
      <c r="D31" s="3" t="s">
        <v>157</v>
      </c>
      <c r="E31" s="3" t="s">
        <v>88</v>
      </c>
      <c r="F31" s="3" t="s">
        <v>88</v>
      </c>
      <c r="G31" s="4" t="s">
        <v>158</v>
      </c>
      <c r="J31">
        <f>B31*$N$2-'q,d_sum'!E31</f>
        <v>-13.9814904858881</v>
      </c>
      <c r="K31">
        <f>D31*$N$2-'q,d_sum'!F31</f>
        <v>-13.9814904858881</v>
      </c>
      <c r="L31">
        <f>G31*$N$2-'q,d_sum'!G31</f>
        <v>-52.618839797015255</v>
      </c>
    </row>
    <row r="32" spans="1:12" x14ac:dyDescent="0.25">
      <c r="A32" s="1" t="s">
        <v>32</v>
      </c>
      <c r="B32">
        <f>(energies!C32-energies!D32)/(2*$N$5)*$N$2</f>
        <v>-7.558951353787001</v>
      </c>
      <c r="C32">
        <v>0</v>
      </c>
      <c r="D32">
        <f>(energies!E32-energies!F32)/(2*$N$5)*$N$2</f>
        <v>-4.2447117264935796</v>
      </c>
      <c r="E32">
        <v>0</v>
      </c>
      <c r="F32">
        <v>0</v>
      </c>
      <c r="G32">
        <f>(energies!G32-energies!H32)/(2*$N$5)*$N$2</f>
        <v>-6.242614650656062</v>
      </c>
      <c r="J32">
        <f>B32*$N$2-'q,d_sum'!E32</f>
        <v>-10.167044073176648</v>
      </c>
      <c r="K32">
        <f>D32*$N$2-'q,d_sum'!F32</f>
        <v>-9.8042501604798726</v>
      </c>
      <c r="L32">
        <f>G32*$N$2-'q,d_sum'!G32</f>
        <v>-10.361947610952207</v>
      </c>
    </row>
    <row r="33" spans="1:12" x14ac:dyDescent="0.25">
      <c r="A33" s="1" t="s">
        <v>33</v>
      </c>
      <c r="B33">
        <v>-7.726</v>
      </c>
      <c r="C33">
        <v>0</v>
      </c>
      <c r="D33">
        <v>-4.4246999999999996</v>
      </c>
      <c r="E33">
        <v>0</v>
      </c>
      <c r="F33">
        <v>0</v>
      </c>
      <c r="G33">
        <v>-6.4105999999999996</v>
      </c>
      <c r="J33">
        <f>B33*$N$2-'q,d_sum'!E33</f>
        <v>-10.391730126694</v>
      </c>
      <c r="K33">
        <f>D33*$N$2-'q,d_sum'!F33</f>
        <v>-10.04634044837119</v>
      </c>
      <c r="L33">
        <f>G33*$N$2-'q,d_sum'!G33</f>
        <v>-10.587893561718529</v>
      </c>
    </row>
    <row r="34" spans="1:12" x14ac:dyDescent="0.25">
      <c r="A34" s="1" t="s">
        <v>34</v>
      </c>
      <c r="B34">
        <v>-7.8672000000000004</v>
      </c>
      <c r="C34">
        <v>0</v>
      </c>
      <c r="D34">
        <v>-4.5662000000000003</v>
      </c>
      <c r="E34">
        <v>0</v>
      </c>
      <c r="F34">
        <v>0</v>
      </c>
      <c r="G34">
        <v>-6.5490000000000004</v>
      </c>
      <c r="J34">
        <f>B34*$N$2-'q,d_sum'!E34</f>
        <v>-10.5816488807568</v>
      </c>
      <c r="K34">
        <f>D34*$N$2-'q,d_sum'!F34</f>
        <v>-10.23666271253469</v>
      </c>
      <c r="L34">
        <f>G34*$N$2-'q,d_sum'!G34</f>
        <v>-10.774046221508129</v>
      </c>
    </row>
    <row r="35" spans="1:12" x14ac:dyDescent="0.25">
      <c r="A35" s="1" t="s">
        <v>35</v>
      </c>
      <c r="B35">
        <v>-7.6496000000000004</v>
      </c>
      <c r="C35">
        <v>0</v>
      </c>
      <c r="D35">
        <v>-4.3384999999999998</v>
      </c>
      <c r="E35">
        <v>0</v>
      </c>
      <c r="F35">
        <v>0</v>
      </c>
      <c r="G35">
        <v>-6.3380000000000001</v>
      </c>
      <c r="J35">
        <f>B35*$N$2-'q,d_sum'!E35</f>
        <v>-10.288969554382401</v>
      </c>
      <c r="K35">
        <f>D35*$N$2-'q,d_sum'!F35</f>
        <v>-9.9303985461033886</v>
      </c>
      <c r="L35">
        <f>G35*$N$2-'q,d_sum'!G35</f>
        <v>-10.49024411734913</v>
      </c>
    </row>
    <row r="36" spans="1:12" x14ac:dyDescent="0.25">
      <c r="A36" s="1" t="s">
        <v>36</v>
      </c>
      <c r="B36">
        <v>-7.7149000000000001</v>
      </c>
      <c r="C36">
        <v>0</v>
      </c>
      <c r="D36">
        <v>-4.4074999999999998</v>
      </c>
      <c r="E36">
        <v>0</v>
      </c>
      <c r="F36">
        <v>0</v>
      </c>
      <c r="G36">
        <v>-6.4065000000000003</v>
      </c>
      <c r="J36">
        <f>B36*$N$2-'q,d_sum'!E36</f>
        <v>-10.376800252968099</v>
      </c>
      <c r="K36">
        <f>D36*$N$2-'q,d_sum'!F36</f>
        <v>-10.023205869264388</v>
      </c>
      <c r="L36">
        <f>G36*$N$2-'q,d_sum'!G36</f>
        <v>-10.58237892367563</v>
      </c>
    </row>
    <row r="37" spans="1:12" x14ac:dyDescent="0.25">
      <c r="A37" s="1" t="s">
        <v>37</v>
      </c>
      <c r="B37">
        <v>-7.8672000000000004</v>
      </c>
      <c r="C37">
        <v>0</v>
      </c>
      <c r="D37">
        <v>-4.5662000000000003</v>
      </c>
      <c r="E37">
        <v>0</v>
      </c>
      <c r="F37">
        <v>0</v>
      </c>
      <c r="G37">
        <v>-6.5490000000000004</v>
      </c>
      <c r="J37">
        <f>B37*$N$2-'q,d_sum'!E37</f>
        <v>-10.5816488807568</v>
      </c>
      <c r="K37">
        <f>D37*$N$2-'q,d_sum'!F37</f>
        <v>-10.23666271253469</v>
      </c>
      <c r="L37">
        <f>G37*$N$2-'q,d_sum'!G37</f>
        <v>-10.774046221508129</v>
      </c>
    </row>
    <row r="38" spans="1:12" x14ac:dyDescent="0.25">
      <c r="A38" s="1" t="s">
        <v>38</v>
      </c>
      <c r="B38">
        <f>(energies!C38-energies!D38)/(2*$N$5)*$N$2</f>
        <v>-11.287553486021004</v>
      </c>
      <c r="D38">
        <f>(energies!E38-energies!F38)/(2*$N$5)*$N$2</f>
        <v>-13.754912166610575</v>
      </c>
      <c r="G38">
        <f>(energies!G38-energies!H38)/(2*$N$5)*$N$2</f>
        <v>-10.980702212413973</v>
      </c>
      <c r="J38">
        <f>B38*$N$2-'q,d_sum'!E38</f>
        <v>-29.288817879322991</v>
      </c>
      <c r="K38">
        <f>D38*$N$2-'q,d_sum'!F38</f>
        <v>-49.561306165251352</v>
      </c>
      <c r="L38">
        <f>G38*$N$2-'q,d_sum'!G38</f>
        <v>-14.769414184959585</v>
      </c>
    </row>
    <row r="39" spans="1:12" x14ac:dyDescent="0.25">
      <c r="A39" s="1" t="s">
        <v>39</v>
      </c>
      <c r="B39">
        <v>-11.2044</v>
      </c>
      <c r="C39">
        <v>0.60980000000000001</v>
      </c>
      <c r="D39">
        <v>-13.414199999999999</v>
      </c>
      <c r="E39">
        <v>0</v>
      </c>
      <c r="F39">
        <v>0</v>
      </c>
      <c r="G39">
        <v>-11.0017</v>
      </c>
      <c r="J39">
        <f>B39*$N$2-'q,d_sum'!E39</f>
        <v>-29.176973640930019</v>
      </c>
      <c r="K39">
        <f>D39*$N$2-'q,d_sum'!F39</f>
        <v>-49.103036829722186</v>
      </c>
      <c r="L39">
        <f>G39*$N$2-'q,d_sum'!G39</f>
        <v>-14.797656916237299</v>
      </c>
    </row>
    <row r="40" spans="1:12" x14ac:dyDescent="0.25">
      <c r="A40" s="1" t="s">
        <v>40</v>
      </c>
      <c r="B40">
        <v>-11.3376</v>
      </c>
      <c r="C40">
        <v>0.52749999999999997</v>
      </c>
      <c r="D40">
        <v>-13.4217</v>
      </c>
      <c r="E40">
        <v>0</v>
      </c>
      <c r="F40">
        <v>0</v>
      </c>
      <c r="G40">
        <v>-11.085000000000001</v>
      </c>
      <c r="J40">
        <f>B40*$N$2-'q,d_sum'!E40</f>
        <v>-29.356132125640819</v>
      </c>
      <c r="K40">
        <f>D40*$N$2-'q,d_sum'!F40</f>
        <v>-49.113124582239692</v>
      </c>
      <c r="L40">
        <f>G40*$N$2-'q,d_sum'!G40</f>
        <v>-14.909698220865002</v>
      </c>
    </row>
    <row r="41" spans="1:12" x14ac:dyDescent="0.25">
      <c r="A41" s="1" t="s">
        <v>41</v>
      </c>
      <c r="B41">
        <v>-11.155900000000001</v>
      </c>
      <c r="C41">
        <v>0.67190000000000005</v>
      </c>
      <c r="D41">
        <v>-13.393700000000001</v>
      </c>
      <c r="E41">
        <v>0</v>
      </c>
      <c r="F41">
        <v>0</v>
      </c>
      <c r="G41">
        <v>-10.941000000000001</v>
      </c>
      <c r="J41">
        <f>B41*$N$2-'q,d_sum'!E41</f>
        <v>-29.111739507983522</v>
      </c>
      <c r="K41">
        <f>D41*$N$2-'q,d_sum'!F41</f>
        <v>-49.075463639507689</v>
      </c>
      <c r="L41">
        <f>G41*$N$2-'q,d_sum'!G41</f>
        <v>-14.716013372529002</v>
      </c>
    </row>
    <row r="42" spans="1:12" x14ac:dyDescent="0.25">
      <c r="A42" s="1" t="s">
        <v>42</v>
      </c>
      <c r="B42">
        <v>-11.2067</v>
      </c>
      <c r="C42">
        <v>0.61119999999999997</v>
      </c>
      <c r="D42">
        <v>-13.351599999999999</v>
      </c>
      <c r="E42">
        <v>0</v>
      </c>
      <c r="F42">
        <v>0</v>
      </c>
      <c r="G42">
        <v>-10.952199999999999</v>
      </c>
      <c r="J42">
        <f>B42*$N$2-'q,d_sum'!E42</f>
        <v>-29.18006721836872</v>
      </c>
      <c r="K42">
        <f>D42*$N$2-'q,d_sum'!F42</f>
        <v>-49.01883772204279</v>
      </c>
      <c r="L42">
        <f>G42*$N$2-'q,d_sum'!G42</f>
        <v>-14.731077749621798</v>
      </c>
    </row>
    <row r="43" spans="1:12" x14ac:dyDescent="0.25">
      <c r="A43" s="1" t="s">
        <v>43</v>
      </c>
      <c r="B43">
        <v>-11.3376</v>
      </c>
      <c r="C43">
        <v>0.52749999999999997</v>
      </c>
      <c r="D43">
        <v>-13.4217</v>
      </c>
      <c r="E43">
        <v>0</v>
      </c>
      <c r="F43">
        <v>0</v>
      </c>
      <c r="G43">
        <v>-11.085000000000001</v>
      </c>
      <c r="J43">
        <f>B43*$N$2-'q,d_sum'!E43</f>
        <v>-29.356132125640819</v>
      </c>
      <c r="K43">
        <f>D43*$N$2-'q,d_sum'!F43</f>
        <v>-49.113124582239692</v>
      </c>
      <c r="L43">
        <f>G43*$N$2-'q,d_sum'!G43</f>
        <v>-14.909698220865002</v>
      </c>
    </row>
    <row r="44" spans="1:12" x14ac:dyDescent="0.25">
      <c r="A44" s="1" t="s">
        <v>44</v>
      </c>
      <c r="B44">
        <f>(energies!C44-energies!D44)/(2*$N$5)*$N$2</f>
        <v>-5.696211535505034</v>
      </c>
      <c r="D44">
        <f>(energies!E44-energies!F44)/(2*$N$5)*$N$2</f>
        <v>-5.696211535505034</v>
      </c>
      <c r="G44">
        <f>(energies!G44-energies!H44)/(2*$N$5)*$N$2</f>
        <v>-3.1857794967671764</v>
      </c>
      <c r="J44">
        <f>B44*$N$2-'q,d_sum'!E44</f>
        <v>-7.6615963010004595</v>
      </c>
      <c r="K44">
        <f>D44*$N$2-'q,d_sum'!F44</f>
        <v>-7.6615963010004595</v>
      </c>
      <c r="L44">
        <f>G44*$N$2-'q,d_sum'!G44</f>
        <v>-7.286552402941652</v>
      </c>
    </row>
    <row r="45" spans="1:12" x14ac:dyDescent="0.25">
      <c r="A45" s="1" t="s">
        <v>45</v>
      </c>
      <c r="B45">
        <v>-5.8505000000000003</v>
      </c>
      <c r="C45">
        <v>0</v>
      </c>
      <c r="D45">
        <v>-5.8505000000000003</v>
      </c>
      <c r="E45">
        <v>0</v>
      </c>
      <c r="F45">
        <v>0</v>
      </c>
      <c r="G45">
        <v>-3.4070999999999998</v>
      </c>
      <c r="J45">
        <f>B45*$N$2-'q,d_sum'!E45</f>
        <v>-7.8691194804845006</v>
      </c>
      <c r="K45">
        <f>D45*$N$2-'q,d_sum'!F45</f>
        <v>-7.8691194804845006</v>
      </c>
      <c r="L45">
        <f>G45*$N$2-'q,d_sum'!G45</f>
        <v>-7.5842359314298236</v>
      </c>
    </row>
    <row r="46" spans="1:12" x14ac:dyDescent="0.25">
      <c r="A46" s="1" t="s">
        <v>46</v>
      </c>
      <c r="B46">
        <v>-5.9602000000000004</v>
      </c>
      <c r="C46">
        <v>0</v>
      </c>
      <c r="D46">
        <v>-5.9602000000000004</v>
      </c>
      <c r="E46">
        <v>0</v>
      </c>
      <c r="F46">
        <v>0</v>
      </c>
      <c r="G46">
        <v>-3.5457999999999998</v>
      </c>
      <c r="J46">
        <f>B46*$N$2-'q,d_sum'!E46</f>
        <v>-8.0166696739737997</v>
      </c>
      <c r="K46">
        <f>D46*$N$2-'q,d_sum'!F46</f>
        <v>-8.0166696739737997</v>
      </c>
      <c r="L46">
        <f>G46*$N$2-'q,d_sum'!G46</f>
        <v>-7.7707921013201222</v>
      </c>
    </row>
    <row r="47" spans="1:12" x14ac:dyDescent="0.25">
      <c r="A47" s="1" t="s">
        <v>47</v>
      </c>
      <c r="B47">
        <v>-5.7851999999999997</v>
      </c>
      <c r="C47">
        <v>0</v>
      </c>
      <c r="D47">
        <v>-5.7851999999999997</v>
      </c>
      <c r="E47">
        <v>0</v>
      </c>
      <c r="F47">
        <v>0</v>
      </c>
      <c r="G47">
        <v>-3.3224</v>
      </c>
      <c r="J47">
        <f>B47*$N$2-'q,d_sum'!E47</f>
        <v>-7.7812887818987999</v>
      </c>
      <c r="K47">
        <f>D47*$N$2-'q,d_sum'!F47</f>
        <v>-7.7812887818987999</v>
      </c>
      <c r="L47">
        <f>G47*$N$2-'q,d_sum'!G47</f>
        <v>-7.4703115796655233</v>
      </c>
    </row>
    <row r="48" spans="1:12" x14ac:dyDescent="0.25">
      <c r="A48" s="1" t="s">
        <v>48</v>
      </c>
      <c r="B48">
        <v>-5.8385999999999996</v>
      </c>
      <c r="C48">
        <v>0</v>
      </c>
      <c r="D48">
        <v>-5.8385999999999996</v>
      </c>
      <c r="E48">
        <v>0</v>
      </c>
      <c r="F48">
        <v>0</v>
      </c>
      <c r="G48">
        <v>-3.3988999999999998</v>
      </c>
      <c r="J48">
        <f>B48*$N$2-'q,d_sum'!E48</f>
        <v>-7.8531135798233995</v>
      </c>
      <c r="K48">
        <f>D48*$N$2-'q,d_sum'!F48</f>
        <v>-7.8531135798233995</v>
      </c>
      <c r="L48">
        <f>G48*$N$2-'q,d_sum'!G48</f>
        <v>-7.5732066553440234</v>
      </c>
    </row>
    <row r="49" spans="1:12" x14ac:dyDescent="0.25">
      <c r="A49" s="1" t="s">
        <v>49</v>
      </c>
      <c r="B49">
        <v>-5.9602000000000004</v>
      </c>
      <c r="C49">
        <v>0</v>
      </c>
      <c r="D49">
        <v>-5.9602000000000004</v>
      </c>
      <c r="E49">
        <v>0</v>
      </c>
      <c r="F49">
        <v>0</v>
      </c>
      <c r="G49">
        <v>-3.5457999999999998</v>
      </c>
      <c r="J49">
        <f>B49*$N$2-'q,d_sum'!E49</f>
        <v>-8.0166696739737997</v>
      </c>
      <c r="K49">
        <f>D49*$N$2-'q,d_sum'!F49</f>
        <v>-8.0166696739737997</v>
      </c>
      <c r="L49">
        <f>G49*$N$2-'q,d_sum'!G49</f>
        <v>-7.7707921013201222</v>
      </c>
    </row>
    <row r="50" spans="1:12" x14ac:dyDescent="0.25">
      <c r="A50" s="1" t="s">
        <v>50</v>
      </c>
      <c r="B50">
        <f>(energies!C50-energies!D50)/(2*$N$5)*$N$2</f>
        <v>-9.7503622544206241</v>
      </c>
      <c r="D50">
        <f>(energies!E50-energies!F50)/(2*$N$5)*$N$2</f>
        <v>-10.935347004636622</v>
      </c>
      <c r="G50">
        <f>(energies!G50-energies!H50)/(2*$N$5)*$N$2</f>
        <v>-10.930301110708527</v>
      </c>
      <c r="J50">
        <f>B50*$N$2-'q,d_sum'!E50</f>
        <v>-16.088151720706339</v>
      </c>
      <c r="K50">
        <f>D50*$N$2-'q,d_sum'!F50</f>
        <v>-42.849509195666343</v>
      </c>
      <c r="L50">
        <f>G50*$N$2-'q,d_sum'!G50</f>
        <v>-14.701623006211065</v>
      </c>
    </row>
    <row r="51" spans="1:12" x14ac:dyDescent="0.25">
      <c r="A51" s="1" t="s">
        <v>51</v>
      </c>
      <c r="B51">
        <v>-9.9966000000000008</v>
      </c>
      <c r="C51">
        <v>1.6435</v>
      </c>
      <c r="D51">
        <v>-10.995799999999999</v>
      </c>
      <c r="E51">
        <v>0</v>
      </c>
      <c r="F51">
        <v>0</v>
      </c>
      <c r="G51">
        <v>-11.085000000000001</v>
      </c>
      <c r="J51">
        <f>B51*$N$2-'q,d_sum'!E51</f>
        <v>-16.419349779089256</v>
      </c>
      <c r="K51">
        <f>D51*$N$2-'q,d_sum'!F51</f>
        <v>-42.930820509821984</v>
      </c>
      <c r="L51">
        <f>G51*$N$2-'q,d_sum'!G51</f>
        <v>-14.909698220865002</v>
      </c>
    </row>
    <row r="52" spans="1:12" x14ac:dyDescent="0.25">
      <c r="A52" s="1" t="s">
        <v>52</v>
      </c>
      <c r="B52">
        <v>-10.208399999999999</v>
      </c>
      <c r="C52">
        <v>1.5790999999999999</v>
      </c>
      <c r="D52">
        <v>-11.1631</v>
      </c>
      <c r="E52">
        <v>0</v>
      </c>
      <c r="F52">
        <v>0</v>
      </c>
      <c r="G52">
        <v>-11.194900000000001</v>
      </c>
      <c r="J52">
        <f>B52*$N$2-'q,d_sum'!E52</f>
        <v>-16.704227910183452</v>
      </c>
      <c r="K52">
        <f>D52*$N$2-'q,d_sum'!F52</f>
        <v>-43.15584464264569</v>
      </c>
      <c r="L52">
        <f>G52*$N$2-'q,d_sum'!G52</f>
        <v>-15.0575174210881</v>
      </c>
    </row>
    <row r="53" spans="1:12" x14ac:dyDescent="0.25">
      <c r="A53" s="1" t="s">
        <v>53</v>
      </c>
      <c r="B53">
        <v>-9.8884000000000007</v>
      </c>
      <c r="C53">
        <v>1.6677</v>
      </c>
      <c r="D53">
        <v>-10.885199999999999</v>
      </c>
      <c r="E53">
        <v>0</v>
      </c>
      <c r="F53">
        <v>0</v>
      </c>
      <c r="G53">
        <v>-11.001200000000001</v>
      </c>
      <c r="J53">
        <f>B53*$N$2-'q,d_sum'!E53</f>
        <v>-16.273817136103453</v>
      </c>
      <c r="K53">
        <f>D53*$N$2-'q,d_sum'!F53</f>
        <v>-42.782059786030587</v>
      </c>
      <c r="L53">
        <f>G53*$N$2-'q,d_sum'!G53</f>
        <v>-14.796984399402801</v>
      </c>
    </row>
    <row r="54" spans="1:12" x14ac:dyDescent="0.25">
      <c r="A54" s="1" t="s">
        <v>54</v>
      </c>
      <c r="B54">
        <v>-10.0002</v>
      </c>
      <c r="C54">
        <v>1.6215999999999999</v>
      </c>
      <c r="D54">
        <v>-10.9459</v>
      </c>
      <c r="E54">
        <v>0</v>
      </c>
      <c r="F54">
        <v>0</v>
      </c>
      <c r="G54">
        <v>-11.0383</v>
      </c>
      <c r="J54">
        <f>B54*$N$2-'q,d_sum'!E54</f>
        <v>-16.424191900297654</v>
      </c>
      <c r="K54">
        <f>D54*$N$2-'q,d_sum'!F54</f>
        <v>-42.863703329738883</v>
      </c>
      <c r="L54">
        <f>G54*$N$2-'q,d_sum'!G54</f>
        <v>-14.846885148522698</v>
      </c>
    </row>
    <row r="55" spans="1:12" x14ac:dyDescent="0.25">
      <c r="A55" s="1" t="s">
        <v>55</v>
      </c>
      <c r="B55">
        <v>-10.208399999999999</v>
      </c>
      <c r="C55">
        <v>1.5790999999999999</v>
      </c>
      <c r="D55">
        <v>-11.1631</v>
      </c>
      <c r="E55">
        <v>0</v>
      </c>
      <c r="F55">
        <v>0</v>
      </c>
      <c r="G55">
        <v>-11.194900000000001</v>
      </c>
      <c r="J55">
        <f>B55*$N$2-'q,d_sum'!E55</f>
        <v>-16.704227910183452</v>
      </c>
      <c r="K55">
        <f>D55*$N$2-'q,d_sum'!F55</f>
        <v>-43.15584464264569</v>
      </c>
      <c r="L55">
        <f>G55*$N$2-'q,d_sum'!G55</f>
        <v>-15.0575174210881</v>
      </c>
    </row>
    <row r="56" spans="1:12" x14ac:dyDescent="0.25">
      <c r="A56" s="1" t="s">
        <v>56</v>
      </c>
      <c r="B56">
        <f>(energies!C56-energies!D56)/(2*$N$5)*$N$2</f>
        <v>-10.40044459983241</v>
      </c>
      <c r="D56">
        <f>(energies!E56-energies!F56)/(2*$N$5)*$N$2</f>
        <v>-10.40044459983241</v>
      </c>
      <c r="G56">
        <f>(energies!G56-energies!H56)/(2*$N$5)*$N$2</f>
        <v>-11.638967070147206</v>
      </c>
      <c r="J56">
        <f>B56*$N$2-'q,d_sum'!E56</f>
        <v>-13.988948159343822</v>
      </c>
      <c r="K56">
        <f>D56*$N$2-'q,d_sum'!F56</f>
        <v>-13.988948159343822</v>
      </c>
      <c r="L56">
        <f>G56*$N$2-'q,d_sum'!G56</f>
        <v>-30.712402593764722</v>
      </c>
    </row>
    <row r="57" spans="1:12" x14ac:dyDescent="0.25">
      <c r="A57" s="1" t="s">
        <v>57</v>
      </c>
      <c r="B57">
        <v>-10.2842</v>
      </c>
      <c r="C57">
        <v>0</v>
      </c>
      <c r="D57">
        <v>-10.2842</v>
      </c>
      <c r="E57">
        <v>0</v>
      </c>
      <c r="F57">
        <v>0</v>
      </c>
      <c r="G57">
        <v>-11.7202</v>
      </c>
      <c r="J57">
        <f>B57*$N$2-'q,d_sum'!E57</f>
        <v>-13.8325952587298</v>
      </c>
      <c r="K57">
        <f>D57*$N$2-'q,d_sum'!F57</f>
        <v>-13.8325952587298</v>
      </c>
      <c r="L57">
        <f>G57*$N$2-'q,d_sum'!G57</f>
        <v>-30.821663619448245</v>
      </c>
    </row>
    <row r="58" spans="1:12" x14ac:dyDescent="0.25">
      <c r="A58" s="1" t="s">
        <v>58</v>
      </c>
      <c r="B58">
        <v>-10.319800000000001</v>
      </c>
      <c r="C58">
        <v>0</v>
      </c>
      <c r="D58">
        <v>-10.319800000000001</v>
      </c>
      <c r="E58">
        <v>0</v>
      </c>
      <c r="F58">
        <v>0</v>
      </c>
      <c r="G58">
        <v>-11.850099999999999</v>
      </c>
      <c r="J58">
        <f>B58*$N$2-'q,d_sum'!E58</f>
        <v>-13.8804784573462</v>
      </c>
      <c r="K58">
        <f>D58*$N$2-'q,d_sum'!F58</f>
        <v>-13.8804784573462</v>
      </c>
      <c r="L58">
        <f>G58*$N$2-'q,d_sum'!G58</f>
        <v>-30.996383493051344</v>
      </c>
    </row>
    <row r="59" spans="1:12" x14ac:dyDescent="0.25">
      <c r="A59" s="1" t="s">
        <v>59</v>
      </c>
      <c r="B59">
        <v>-10.2478</v>
      </c>
      <c r="C59">
        <v>0</v>
      </c>
      <c r="D59">
        <v>-10.2478</v>
      </c>
      <c r="E59">
        <v>0</v>
      </c>
      <c r="F59">
        <v>0</v>
      </c>
      <c r="G59">
        <v>-11.656599999999999</v>
      </c>
      <c r="J59">
        <f>B59*$N$2-'q,d_sum'!E59</f>
        <v>-13.783636033178199</v>
      </c>
      <c r="K59">
        <f>D59*$N$2-'q,d_sum'!F59</f>
        <v>-13.783636033178199</v>
      </c>
      <c r="L59">
        <f>G59*$N$2-'q,d_sum'!G59</f>
        <v>-30.736119478099845</v>
      </c>
    </row>
    <row r="60" spans="1:12" x14ac:dyDescent="0.25">
      <c r="A60" s="1" t="s">
        <v>60</v>
      </c>
      <c r="B60">
        <v>-10.226000000000001</v>
      </c>
      <c r="C60">
        <v>0</v>
      </c>
      <c r="D60">
        <v>-10.226000000000001</v>
      </c>
      <c r="E60">
        <v>0</v>
      </c>
      <c r="F60">
        <v>0</v>
      </c>
      <c r="G60">
        <v>-11.7324</v>
      </c>
      <c r="J60">
        <f>B60*$N$2-'q,d_sum'!E60</f>
        <v>-13.754314299194</v>
      </c>
      <c r="K60">
        <f>D60*$N$2-'q,d_sum'!F60</f>
        <v>-13.754314299194</v>
      </c>
      <c r="L60">
        <f>G60*$N$2-'q,d_sum'!G60</f>
        <v>-30.838073030210047</v>
      </c>
    </row>
    <row r="61" spans="1:12" x14ac:dyDescent="0.25">
      <c r="A61" s="1" t="s">
        <v>61</v>
      </c>
      <c r="B61">
        <v>-10.319800000000001</v>
      </c>
      <c r="C61">
        <v>0</v>
      </c>
      <c r="D61">
        <v>-10.319800000000001</v>
      </c>
      <c r="E61">
        <v>0</v>
      </c>
      <c r="F61">
        <v>0</v>
      </c>
      <c r="G61">
        <v>-11.850099999999999</v>
      </c>
      <c r="J61">
        <f>B61*$N$2-'q,d_sum'!E61</f>
        <v>-13.8804784573462</v>
      </c>
      <c r="K61">
        <f>D61*$N$2-'q,d_sum'!F61</f>
        <v>-13.8804784573462</v>
      </c>
      <c r="L61">
        <f>G61*$N$2-'q,d_sum'!G61</f>
        <v>-30.996383493051344</v>
      </c>
    </row>
    <row r="62" spans="1:12" x14ac:dyDescent="0.25">
      <c r="A62" s="1" t="s">
        <v>62</v>
      </c>
      <c r="B62">
        <f>(energies!C62-energies!D62)/(2*$N$5)*$N$2</f>
        <v>-6.7270930881566713</v>
      </c>
      <c r="D62">
        <f>(energies!E62-energies!F62)/(2*$N$5)*$N$2</f>
        <v>-5.415368505499953</v>
      </c>
      <c r="G62">
        <f>(energies!G62-energies!H62)/(2*$N$5)*$N$2</f>
        <v>-7.5672724046594952</v>
      </c>
      <c r="J62">
        <f>B62*$N$2-'q,d_sum'!E62</f>
        <v>-9.0481666980679076</v>
      </c>
      <c r="K62">
        <f>D62*$N$2-'q,d_sum'!F62</f>
        <v>-7.2838529699396481</v>
      </c>
      <c r="L62">
        <f>G62*$N$2-'q,d_sum'!G62</f>
        <v>-37.041841200325891</v>
      </c>
    </row>
    <row r="63" spans="1:12" x14ac:dyDescent="0.25">
      <c r="A63" s="1" t="s">
        <v>63</v>
      </c>
      <c r="B63">
        <v>-5.5457000000000001</v>
      </c>
      <c r="C63">
        <v>0</v>
      </c>
      <c r="D63">
        <v>-6.8764000000000003</v>
      </c>
      <c r="E63">
        <v>0</v>
      </c>
      <c r="F63">
        <v>0</v>
      </c>
      <c r="G63">
        <v>-7.5372000000000003</v>
      </c>
      <c r="J63">
        <f>B63*$N$2-'q,d_sum'!E63</f>
        <v>-7.4591532181733005</v>
      </c>
      <c r="K63">
        <f>D63*$N$2-'q,d_sum'!F63</f>
        <v>-9.2489895215116</v>
      </c>
      <c r="L63">
        <f>G63*$N$2-'q,d_sum'!G63</f>
        <v>-37.001392803551077</v>
      </c>
    </row>
    <row r="64" spans="1:12" x14ac:dyDescent="0.25">
      <c r="A64" s="1" t="s">
        <v>64</v>
      </c>
      <c r="B64">
        <v>-5.6403999999999996</v>
      </c>
      <c r="C64">
        <v>0</v>
      </c>
      <c r="D64">
        <v>-7.0038</v>
      </c>
      <c r="E64">
        <v>0</v>
      </c>
      <c r="F64">
        <v>0</v>
      </c>
      <c r="G64">
        <v>-7.5712999999999999</v>
      </c>
      <c r="J64">
        <f>B64*$N$2-'q,d_sum'!E64</f>
        <v>-7.586527906627599</v>
      </c>
      <c r="K64">
        <f>D64*$N$2-'q,d_sum'!F64</f>
        <v>-9.4203468109422008</v>
      </c>
      <c r="L64">
        <f>G64*$N$2-'q,d_sum'!G64</f>
        <v>-37.047258451663978</v>
      </c>
    </row>
    <row r="65" spans="1:12" x14ac:dyDescent="0.25">
      <c r="A65" s="1" t="s">
        <v>65</v>
      </c>
      <c r="B65">
        <v>-5.4775</v>
      </c>
      <c r="C65">
        <v>0</v>
      </c>
      <c r="D65">
        <v>-6.8033999999999999</v>
      </c>
      <c r="E65">
        <v>0</v>
      </c>
      <c r="F65">
        <v>0</v>
      </c>
      <c r="G65">
        <v>-7.5166000000000004</v>
      </c>
      <c r="J65">
        <f>B65*$N$2-'q,d_sum'!E65</f>
        <v>-7.3674219219474999</v>
      </c>
      <c r="K65">
        <f>D65*$N$2-'q,d_sum'!F65</f>
        <v>-9.1508020636746004</v>
      </c>
      <c r="L65">
        <f>G65*$N$2-'q,d_sum'!G65</f>
        <v>-36.973685109969679</v>
      </c>
    </row>
    <row r="66" spans="1:12" x14ac:dyDescent="0.25">
      <c r="A66" s="1" t="s">
        <v>66</v>
      </c>
      <c r="B66">
        <v>-5.5148000000000001</v>
      </c>
      <c r="C66">
        <v>0</v>
      </c>
      <c r="D66">
        <v>-6.8636999999999997</v>
      </c>
      <c r="E66">
        <v>0</v>
      </c>
      <c r="F66">
        <v>0</v>
      </c>
      <c r="G66">
        <v>-7.5176999999999996</v>
      </c>
      <c r="J66">
        <f>B66*$N$2-'q,d_sum'!E66</f>
        <v>-7.4175916778011999</v>
      </c>
      <c r="K66">
        <f>D66*$N$2-'q,d_sum'!F66</f>
        <v>-9.2319075939152988</v>
      </c>
      <c r="L66">
        <f>G66*$N$2-'q,d_sum'!G66</f>
        <v>-36.975164647005577</v>
      </c>
    </row>
    <row r="67" spans="1:12" x14ac:dyDescent="0.25">
      <c r="A67" s="1" t="s">
        <v>67</v>
      </c>
      <c r="B67">
        <v>-5.6403999999999996</v>
      </c>
      <c r="C67">
        <v>0</v>
      </c>
      <c r="D67">
        <v>-7.0038</v>
      </c>
      <c r="E67">
        <v>0</v>
      </c>
      <c r="F67">
        <v>0</v>
      </c>
      <c r="G67">
        <v>-7.5712999999999999</v>
      </c>
      <c r="J67">
        <f>B67*$N$2-'q,d_sum'!E67</f>
        <v>-7.586527906627599</v>
      </c>
      <c r="K67">
        <f>D67*$N$2-'q,d_sum'!F67</f>
        <v>-9.4203468109422008</v>
      </c>
      <c r="L67">
        <f>G67*$N$2-'q,d_sum'!G67</f>
        <v>-37.047258451663978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3BA-63BB-4E65-8233-DA634811024F}">
  <dimension ref="A1:S67"/>
  <sheetViews>
    <sheetView workbookViewId="0">
      <selection activeCell="C2" sqref="C2"/>
    </sheetView>
  </sheetViews>
  <sheetFormatPr defaultRowHeight="15" x14ac:dyDescent="0.25"/>
  <cols>
    <col min="1" max="1" width="11.42578125" bestFit="1" customWidth="1"/>
    <col min="13" max="13" width="17.42578125" bestFit="1" customWidth="1"/>
    <col min="14" max="14" width="12" bestFit="1" customWidth="1"/>
    <col min="18" max="18" width="11.42578125" bestFit="1" customWidth="1"/>
  </cols>
  <sheetData>
    <row r="1" spans="1:19" x14ac:dyDescent="0.25">
      <c r="B1" t="s">
        <v>85</v>
      </c>
      <c r="C1" t="s">
        <v>69</v>
      </c>
      <c r="D1" t="s">
        <v>71</v>
      </c>
      <c r="E1" t="s">
        <v>73</v>
      </c>
      <c r="M1" t="s">
        <v>0</v>
      </c>
      <c r="Q1" t="s">
        <v>160</v>
      </c>
      <c r="S1" t="s">
        <v>73</v>
      </c>
    </row>
    <row r="2" spans="1:19" x14ac:dyDescent="0.25">
      <c r="A2" t="s">
        <v>1</v>
      </c>
      <c r="B2">
        <v>13</v>
      </c>
      <c r="C2">
        <f>SQRT((quadrupoles_dft!J2/-stdev!B2)-(dipoles_dft!H2/-stdev!B2)^2)</f>
        <v>1.1582984099215232</v>
      </c>
      <c r="D2">
        <f>SQRT((quadrupoles_dft!K2/-stdev!B2)-(dipoles_dft!I2/-stdev!B2)^2)</f>
        <v>1.1582984099215232</v>
      </c>
      <c r="E2">
        <f>SQRT((quadrupoles_dft!L2/-stdev!B2)-(dipoles_dft!J2/-stdev!B2)^2)</f>
        <v>1.6981447914296268</v>
      </c>
      <c r="M2" t="s">
        <v>81</v>
      </c>
      <c r="N2">
        <f>1/0.3934303*0.529177</f>
        <v>1.3450336692420486</v>
      </c>
      <c r="R2" t="s">
        <v>44</v>
      </c>
      <c r="S2">
        <v>0.81785933881478079</v>
      </c>
    </row>
    <row r="3" spans="1:19" x14ac:dyDescent="0.25">
      <c r="A3" t="s">
        <v>2</v>
      </c>
      <c r="B3">
        <v>13</v>
      </c>
      <c r="C3">
        <f>SQRT((quadrupoles_dft!J3/-stdev!B3)-(dipoles_dft!H3/-stdev!B3)^2)</f>
        <v>1.1547056350521412</v>
      </c>
      <c r="D3">
        <f>SQRT((quadrupoles_dft!K3/-stdev!B3)-(dipoles_dft!I3/-stdev!B3)^2)</f>
        <v>1.1547043874916811</v>
      </c>
      <c r="E3">
        <f>SQRT((quadrupoles_dft!L3/-stdev!B3)-(dipoles_dft!J3/-stdev!B3)^2)</f>
        <v>1.6716708328908005</v>
      </c>
      <c r="R3" t="s">
        <v>47</v>
      </c>
      <c r="S3">
        <v>0.85837318662627127</v>
      </c>
    </row>
    <row r="4" spans="1:19" x14ac:dyDescent="0.25">
      <c r="A4" t="s">
        <v>3</v>
      </c>
      <c r="B4">
        <v>13</v>
      </c>
      <c r="C4">
        <f>SQRT((quadrupoles_dft!J4/-stdev!B4)-(dipoles_dft!H4/-stdev!B4)^2)</f>
        <v>1.1553302612039287</v>
      </c>
      <c r="D4">
        <f>SQRT((quadrupoles_dft!K4/-stdev!B4)-(dipoles_dft!I4/-stdev!B4)^2)</f>
        <v>1.1553314330917874</v>
      </c>
      <c r="E4">
        <f>SQRT((quadrupoles_dft!L4/-stdev!B4)-(dipoles_dft!J4/-stdev!B4)^2)</f>
        <v>1.678921113656453</v>
      </c>
      <c r="R4" t="s">
        <v>48</v>
      </c>
      <c r="S4">
        <v>0.86415389319549474</v>
      </c>
    </row>
    <row r="5" spans="1:19" x14ac:dyDescent="0.25">
      <c r="A5" t="s">
        <v>4</v>
      </c>
      <c r="B5">
        <v>13</v>
      </c>
      <c r="C5">
        <f>SQRT((quadrupoles_dft!J5/-stdev!B5)-(dipoles_dft!H5/-stdev!B5)^2)</f>
        <v>1.1537825808210065</v>
      </c>
      <c r="D5">
        <f>SQRT((quadrupoles_dft!K5/-stdev!B5)-(dipoles_dft!I5/-stdev!B5)^2)</f>
        <v>1.1537811150507775</v>
      </c>
      <c r="E5">
        <f>SQRT((quadrupoles_dft!L5/-stdev!B5)-(dipoles_dft!J5/-stdev!B5)^2)</f>
        <v>1.6677626619101189</v>
      </c>
      <c r="R5" t="s">
        <v>45</v>
      </c>
      <c r="S5">
        <v>0.86484405613142512</v>
      </c>
    </row>
    <row r="6" spans="1:19" x14ac:dyDescent="0.25">
      <c r="A6" t="s">
        <v>5</v>
      </c>
      <c r="B6">
        <v>13</v>
      </c>
      <c r="C6">
        <f>SQRT((quadrupoles_dft!J6/-stdev!B6)-(dipoles_dft!H6/-stdev!B6)^2)</f>
        <v>1.1521491807834694</v>
      </c>
      <c r="D6">
        <f>SQRT((quadrupoles_dft!K6/-stdev!B6)-(dipoles_dft!I6/-stdev!B6)^2)</f>
        <v>1.1521478929263445</v>
      </c>
      <c r="E6">
        <f>SQRT((quadrupoles_dft!L6/-stdev!B6)-(dipoles_dft!J6/-stdev!B6)^2)</f>
        <v>1.670651759731236</v>
      </c>
      <c r="M6" t="s">
        <v>82</v>
      </c>
      <c r="N6">
        <v>0.39343030000000001</v>
      </c>
      <c r="R6" t="s">
        <v>46</v>
      </c>
      <c r="S6">
        <v>0.87529819831628797</v>
      </c>
    </row>
    <row r="7" spans="1:19" x14ac:dyDescent="0.25">
      <c r="A7" t="s">
        <v>6</v>
      </c>
      <c r="B7">
        <v>13</v>
      </c>
      <c r="C7">
        <f>SQRT((quadrupoles_dft!J7/-stdev!B7)-(dipoles_dft!H7/-stdev!B7)^2)</f>
        <v>1.1553302612039287</v>
      </c>
      <c r="D7">
        <f>SQRT((quadrupoles_dft!K7/-stdev!B7)-(dipoles_dft!I7/-stdev!B7)^2)</f>
        <v>1.1553314330917874</v>
      </c>
      <c r="E7">
        <f>SQRT((quadrupoles_dft!L7/-stdev!B7)-(dipoles_dft!J7/-stdev!B7)^2)</f>
        <v>1.678921113656453</v>
      </c>
      <c r="R7" t="s">
        <v>49</v>
      </c>
      <c r="S7">
        <v>0.87529819831628797</v>
      </c>
    </row>
    <row r="8" spans="1:19" x14ac:dyDescent="0.25">
      <c r="A8" t="s">
        <v>7</v>
      </c>
      <c r="B8">
        <v>10</v>
      </c>
      <c r="C8">
        <f>SQRT((quadrupoles_dft!J8/-stdev!B8)-(dipoles_dft!H8/-stdev!B8)^2)</f>
        <v>1.3015119116554674</v>
      </c>
      <c r="D8">
        <f>SQRT((quadrupoles_dft!K8/-stdev!B8)-(dipoles_dft!I8/-stdev!B8)^2)</f>
        <v>1.3015119116554674</v>
      </c>
      <c r="E8">
        <f>SQRT((quadrupoles_dft!L8/-stdev!B8)-(dipoles_dft!J8/-stdev!B8)^2)</f>
        <v>1.3015119116554674</v>
      </c>
      <c r="R8" t="s">
        <v>50</v>
      </c>
      <c r="S8">
        <v>0.929946962630952</v>
      </c>
    </row>
    <row r="9" spans="1:19" x14ac:dyDescent="0.25">
      <c r="A9" t="s">
        <v>8</v>
      </c>
      <c r="B9">
        <v>10</v>
      </c>
      <c r="C9">
        <f>SQRT((quadrupoles_dft!J9/-stdev!B9)-(dipoles_dft!H9/-stdev!B9)^2)</f>
        <v>1.3006465275340067</v>
      </c>
      <c r="D9">
        <f>SQRT((quadrupoles_dft!K9/-stdev!B9)-(dipoles_dft!I9/-stdev!B9)^2)</f>
        <v>1.3006465275340067</v>
      </c>
      <c r="E9">
        <f>SQRT((quadrupoles_dft!L9/-stdev!B9)-(dipoles_dft!J9/-stdev!B9)^2)</f>
        <v>1.3006465275340067</v>
      </c>
      <c r="R9" t="s">
        <v>53</v>
      </c>
      <c r="S9">
        <v>0.93295811643593851</v>
      </c>
    </row>
    <row r="10" spans="1:19" x14ac:dyDescent="0.25">
      <c r="A10" t="s">
        <v>9</v>
      </c>
      <c r="B10">
        <v>10</v>
      </c>
      <c r="C10">
        <f>SQRT((quadrupoles_dft!J10/-stdev!B10)-(dipoles_dft!H10/-stdev!B10)^2)</f>
        <v>1.3057914746490726</v>
      </c>
      <c r="D10">
        <f>SQRT((quadrupoles_dft!K10/-stdev!B10)-(dipoles_dft!I10/-stdev!B10)^2)</f>
        <v>1.3057914746490726</v>
      </c>
      <c r="E10">
        <f>SQRT((quadrupoles_dft!L10/-stdev!B10)-(dipoles_dft!J10/-stdev!B10)^2)</f>
        <v>1.3057914746490726</v>
      </c>
      <c r="R10" t="s">
        <v>54</v>
      </c>
      <c r="S10">
        <v>0.93452992740051799</v>
      </c>
    </row>
    <row r="11" spans="1:19" x14ac:dyDescent="0.25">
      <c r="A11" t="s">
        <v>10</v>
      </c>
      <c r="B11">
        <v>10</v>
      </c>
      <c r="C11">
        <f>SQRT((quadrupoles_dft!J11/-stdev!B11)-(dipoles_dft!H11/-stdev!B11)^2)</f>
        <v>1.2982036938279715</v>
      </c>
      <c r="D11">
        <f>SQRT((quadrupoles_dft!K11/-stdev!B11)-(dipoles_dft!I11/-stdev!B11)^2)</f>
        <v>1.2982036938279715</v>
      </c>
      <c r="E11">
        <f>SQRT((quadrupoles_dft!L11/-stdev!B11)-(dipoles_dft!J11/-stdev!B11)^2)</f>
        <v>1.2982036938279715</v>
      </c>
      <c r="R11" t="s">
        <v>51</v>
      </c>
      <c r="S11">
        <v>0.93650470998046154</v>
      </c>
    </row>
    <row r="12" spans="1:19" x14ac:dyDescent="0.25">
      <c r="A12" t="s">
        <v>11</v>
      </c>
      <c r="B12">
        <v>10</v>
      </c>
      <c r="C12">
        <f>SQRT((quadrupoles_dft!J12/-stdev!B12)-(dipoles_dft!H12/-stdev!B12)^2)</f>
        <v>1.2998241365863921</v>
      </c>
      <c r="D12">
        <f>SQRT((quadrupoles_dft!K12/-stdev!B12)-(dipoles_dft!I12/-stdev!B12)^2)</f>
        <v>1.2998241365863921</v>
      </c>
      <c r="E12">
        <f>SQRT((quadrupoles_dft!L12/-stdev!B12)-(dipoles_dft!J12/-stdev!B12)^2)</f>
        <v>1.2998241365863921</v>
      </c>
      <c r="M12" t="s">
        <v>79</v>
      </c>
      <c r="N12">
        <v>1.8897299999999999</v>
      </c>
      <c r="R12" t="s">
        <v>52</v>
      </c>
      <c r="S12">
        <v>0.94113565381805364</v>
      </c>
    </row>
    <row r="13" spans="1:19" x14ac:dyDescent="0.25">
      <c r="A13" t="s">
        <v>12</v>
      </c>
      <c r="B13">
        <v>10</v>
      </c>
      <c r="C13">
        <f>SQRT((quadrupoles_dft!J13/-stdev!B13)-(dipoles_dft!H13/-stdev!B13)^2)</f>
        <v>1.3057914746490726</v>
      </c>
      <c r="D13">
        <f>SQRT((quadrupoles_dft!K13/-stdev!B13)-(dipoles_dft!I13/-stdev!B13)^2)</f>
        <v>1.3057914746490726</v>
      </c>
      <c r="E13">
        <f>SQRT((quadrupoles_dft!L13/-stdev!B13)-(dipoles_dft!J13/-stdev!B13)^2)</f>
        <v>1.3057914746490726</v>
      </c>
      <c r="R13" t="s">
        <v>55</v>
      </c>
      <c r="S13">
        <v>0.94113565381805364</v>
      </c>
    </row>
    <row r="14" spans="1:19" x14ac:dyDescent="0.25">
      <c r="A14" t="s">
        <v>13</v>
      </c>
      <c r="B14">
        <v>13</v>
      </c>
      <c r="C14">
        <f>SQRT((quadrupoles_dft!J14/-stdev!B14)-(dipoles_dft!H14/-stdev!B14)^2)</f>
        <v>1.0689095723889024</v>
      </c>
      <c r="D14">
        <f>SQRT((quadrupoles_dft!K14/-stdev!B14)-(dipoles_dft!I14/-stdev!B14)^2)</f>
        <v>1.0689095723889024</v>
      </c>
      <c r="E14">
        <f>SQRT((quadrupoles_dft!L14/-stdev!B14)-(dipoles_dft!J14/-stdev!B14)^2)</f>
        <v>1.3972208851020782</v>
      </c>
      <c r="R14" t="s">
        <v>41</v>
      </c>
      <c r="S14">
        <v>0.9904885451980755</v>
      </c>
    </row>
    <row r="15" spans="1:19" x14ac:dyDescent="0.25">
      <c r="A15" t="s">
        <v>14</v>
      </c>
      <c r="B15">
        <v>13</v>
      </c>
      <c r="C15">
        <f>SQRT((quadrupoles_dft!J15/-stdev!B15)-(dipoles_dft!H15/-stdev!B15)^2)</f>
        <v>1.0683853722218366</v>
      </c>
      <c r="D15">
        <f>SQRT((quadrupoles_dft!K15/-stdev!B15)-(dipoles_dft!I15/-stdev!B15)^2)</f>
        <v>1.0683853722218366</v>
      </c>
      <c r="E15">
        <f>SQRT((quadrupoles_dft!L15/-stdev!B15)-(dipoles_dft!J15/-stdev!B15)^2)</f>
        <v>1.4881591913529397</v>
      </c>
      <c r="R15" t="s">
        <v>42</v>
      </c>
      <c r="S15">
        <v>0.9909953834275852</v>
      </c>
    </row>
    <row r="16" spans="1:19" x14ac:dyDescent="0.25">
      <c r="A16" t="s">
        <v>15</v>
      </c>
      <c r="B16">
        <v>13</v>
      </c>
      <c r="C16">
        <f>SQRT((quadrupoles_dft!J16/-stdev!B16)-(dipoles_dft!H16/-stdev!B16)^2)</f>
        <v>1.0694549363179788</v>
      </c>
      <c r="D16">
        <f>SQRT((quadrupoles_dft!K16/-stdev!B16)-(dipoles_dft!I16/-stdev!B16)^2)</f>
        <v>1.0694549363179788</v>
      </c>
      <c r="E16">
        <f>SQRT((quadrupoles_dft!L16/-stdev!B16)-(dipoles_dft!J16/-stdev!B16)^2)</f>
        <v>1.5011067156601614</v>
      </c>
      <c r="N16">
        <f>0.9697*N12</f>
        <v>1.8324711809999998</v>
      </c>
      <c r="R16" t="s">
        <v>39</v>
      </c>
      <c r="S16">
        <v>0.99323232986169285</v>
      </c>
    </row>
    <row r="17" spans="1:19" x14ac:dyDescent="0.25">
      <c r="A17" t="s">
        <v>16</v>
      </c>
      <c r="B17">
        <v>13</v>
      </c>
      <c r="C17">
        <f>SQRT((quadrupoles_dft!J17/-stdev!B17)-(dipoles_dft!H17/-stdev!B17)^2)</f>
        <v>1.066708697225013</v>
      </c>
      <c r="D17">
        <f>SQRT((quadrupoles_dft!K17/-stdev!B17)-(dipoles_dft!I17/-stdev!B17)^2)</f>
        <v>1.066708697225013</v>
      </c>
      <c r="E17">
        <f>SQRT((quadrupoles_dft!L17/-stdev!B17)-(dipoles_dft!J17/-stdev!B17)^2)</f>
        <v>1.4798493471234695</v>
      </c>
      <c r="R17" t="s">
        <v>40</v>
      </c>
      <c r="S17">
        <v>0.99698539677921072</v>
      </c>
    </row>
    <row r="18" spans="1:19" x14ac:dyDescent="0.25">
      <c r="A18" t="s">
        <v>17</v>
      </c>
      <c r="B18">
        <v>13</v>
      </c>
      <c r="C18">
        <f>SQRT((quadrupoles_dft!J18/-stdev!B18)-(dipoles_dft!H18/-stdev!B18)^2)</f>
        <v>1.0653693419617767</v>
      </c>
      <c r="D18">
        <f>SQRT((quadrupoles_dft!K18/-stdev!B18)-(dipoles_dft!I18/-stdev!B18)^2)</f>
        <v>1.0653693419617767</v>
      </c>
      <c r="E18">
        <f>SQRT((quadrupoles_dft!L18/-stdev!B18)-(dipoles_dft!J18/-stdev!B18)^2)</f>
        <v>1.4884671973099024</v>
      </c>
      <c r="R18" t="s">
        <v>43</v>
      </c>
      <c r="S18">
        <v>0.99698539677921072</v>
      </c>
    </row>
    <row r="19" spans="1:19" x14ac:dyDescent="0.25">
      <c r="A19" t="s">
        <v>18</v>
      </c>
      <c r="B19">
        <v>13</v>
      </c>
      <c r="C19">
        <f>SQRT((quadrupoles_dft!J19/-stdev!B19)-(dipoles_dft!H19/-stdev!B19)^2)</f>
        <v>1.0694549363179788</v>
      </c>
      <c r="D19">
        <f>SQRT((quadrupoles_dft!K19/-stdev!B19)-(dipoles_dft!I19/-stdev!B19)^2)</f>
        <v>1.0694549363179788</v>
      </c>
      <c r="E19">
        <f>SQRT((quadrupoles_dft!L19/-stdev!B19)-(dipoles_dft!J19/-stdev!B19)^2)</f>
        <v>1.5011067156601614</v>
      </c>
      <c r="R19" t="s">
        <v>32</v>
      </c>
      <c r="S19">
        <v>1.0152942666866889</v>
      </c>
    </row>
    <row r="20" spans="1:19" x14ac:dyDescent="0.25">
      <c r="A20" t="s">
        <v>19</v>
      </c>
      <c r="B20">
        <v>22</v>
      </c>
      <c r="C20">
        <f>SQRT((quadrupoles_dft!J20/-stdev!B20)-(dipoles_dft!H20/-stdev!B20)^2)</f>
        <v>0.9517130678425505</v>
      </c>
      <c r="D20">
        <f>SQRT((quadrupoles_dft!K20/-stdev!B20)-(dipoles_dft!I20/-stdev!B20)^2)</f>
        <v>0.9517130678425505</v>
      </c>
      <c r="E20">
        <f>SQRT((quadrupoles_dft!L20/-stdev!B20)-(dipoles_dft!J20/-stdev!B20)^2)</f>
        <v>2.1741662885199315</v>
      </c>
      <c r="R20" t="s">
        <v>35</v>
      </c>
      <c r="S20">
        <v>1.0215295964006164</v>
      </c>
    </row>
    <row r="21" spans="1:19" x14ac:dyDescent="0.25">
      <c r="A21" t="s">
        <v>20</v>
      </c>
      <c r="B21">
        <v>22</v>
      </c>
      <c r="C21">
        <f>SQRT((quadrupoles_dft!J21/-stdev!B21)-(dipoles_dft!H21/-stdev!B21)^2)</f>
        <v>0.95155895161150739</v>
      </c>
      <c r="D21">
        <f>SQRT((quadrupoles_dft!K21/-stdev!B21)-(dipoles_dft!I21/-stdev!B21)^2)</f>
        <v>0.95155895161150739</v>
      </c>
      <c r="E21">
        <f>SQRT((quadrupoles_dft!L21/-stdev!B21)-(dipoles_dft!J21/-stdev!B21)^2)</f>
        <v>2.1631464435315007</v>
      </c>
      <c r="R21" t="s">
        <v>36</v>
      </c>
      <c r="S21">
        <v>1.0261577307332475</v>
      </c>
    </row>
    <row r="22" spans="1:19" x14ac:dyDescent="0.25">
      <c r="A22" t="s">
        <v>21</v>
      </c>
      <c r="B22">
        <v>22</v>
      </c>
      <c r="C22">
        <f>SQRT((quadrupoles_dft!J22/-stdev!B22)-(dipoles_dft!H22/-stdev!B22)^2)</f>
        <v>0.95434974468165779</v>
      </c>
      <c r="D22">
        <f>SQRT((quadrupoles_dft!K22/-stdev!B22)-(dipoles_dft!I22/-stdev!B22)^2)</f>
        <v>0.95434974468165779</v>
      </c>
      <c r="E22">
        <f>SQRT((quadrupoles_dft!L22/-stdev!B22)-(dipoles_dft!J22/-stdev!B22)^2)</f>
        <v>2.1615757274662761</v>
      </c>
      <c r="R22" t="s">
        <v>33</v>
      </c>
      <c r="S22">
        <v>1.0263753779265874</v>
      </c>
    </row>
    <row r="23" spans="1:19" x14ac:dyDescent="0.25">
      <c r="A23" t="s">
        <v>22</v>
      </c>
      <c r="B23">
        <v>22</v>
      </c>
      <c r="C23">
        <f>SQRT((quadrupoles_dft!J23/-stdev!B23)-(dipoles_dft!H23/-stdev!B23)^2)</f>
        <v>0.94932363014718635</v>
      </c>
      <c r="D23">
        <f>SQRT((quadrupoles_dft!K23/-stdev!B23)-(dipoles_dft!I23/-stdev!B23)^2)</f>
        <v>0.94932363014718635</v>
      </c>
      <c r="E23">
        <f>SQRT((quadrupoles_dft!L23/-stdev!B23)-(dipoles_dft!J23/-stdev!B23)^2)</f>
        <v>2.163681245290435</v>
      </c>
      <c r="R23" t="s">
        <v>34</v>
      </c>
      <c r="S23">
        <v>1.035576114569269</v>
      </c>
    </row>
    <row r="24" spans="1:19" x14ac:dyDescent="0.25">
      <c r="A24" t="s">
        <v>23</v>
      </c>
      <c r="B24">
        <v>22</v>
      </c>
      <c r="C24">
        <f>SQRT((quadrupoles_dft!J24/-stdev!B24)-(dipoles_dft!H24/-stdev!B24)^2)</f>
        <v>0.94973571050035477</v>
      </c>
      <c r="D24">
        <f>SQRT((quadrupoles_dft!K24/-stdev!B24)-(dipoles_dft!I24/-stdev!B24)^2)</f>
        <v>0.94973571050035477</v>
      </c>
      <c r="E24">
        <f>SQRT((quadrupoles_dft!L24/-stdev!B24)-(dipoles_dft!J24/-stdev!B24)^2)</f>
        <v>2.1618567295283024</v>
      </c>
      <c r="R24" t="s">
        <v>37</v>
      </c>
      <c r="S24">
        <v>1.035576114569269</v>
      </c>
    </row>
    <row r="25" spans="1:19" x14ac:dyDescent="0.25">
      <c r="A25" t="s">
        <v>24</v>
      </c>
      <c r="B25">
        <v>22</v>
      </c>
      <c r="C25">
        <f>SQRT((quadrupoles_dft!J25/-stdev!B25)-(dipoles_dft!H25/-stdev!B25)^2)</f>
        <v>0.95434974468165779</v>
      </c>
      <c r="D25">
        <f>SQRT((quadrupoles_dft!K25/-stdev!B25)-(dipoles_dft!I25/-stdev!B25)^2)</f>
        <v>0.95434974468165779</v>
      </c>
      <c r="E25">
        <f>SQRT((quadrupoles_dft!L25/-stdev!B25)-(dipoles_dft!J25/-stdev!B25)^2)</f>
        <v>2.1615755565976569</v>
      </c>
      <c r="R25" t="s">
        <v>65</v>
      </c>
      <c r="S25">
        <v>1.1001792376888555</v>
      </c>
    </row>
    <row r="26" spans="1:19" x14ac:dyDescent="0.25">
      <c r="A26" t="s">
        <v>25</v>
      </c>
      <c r="B26">
        <v>14</v>
      </c>
      <c r="C26">
        <f>SQRT((quadrupoles_dft!J26/-stdev!B26)-(dipoles_dft!H26/-stdev!B26)^2)</f>
        <v>0.99089543529371349</v>
      </c>
      <c r="D26">
        <f>SQRT((quadrupoles_dft!K26/-stdev!B26)-(dipoles_dft!I26/-stdev!B26)^2)</f>
        <v>0.99089543529371349</v>
      </c>
      <c r="E26">
        <f>SQRT((quadrupoles_dft!L26/-stdev!B26)-(dipoles_dft!J26/-stdev!B26)^2)</f>
        <v>1.5255081688068635</v>
      </c>
      <c r="R26" t="s">
        <v>66</v>
      </c>
      <c r="S26">
        <v>1.1028063165816999</v>
      </c>
    </row>
    <row r="27" spans="1:19" x14ac:dyDescent="0.25">
      <c r="A27" t="s">
        <v>26</v>
      </c>
      <c r="B27">
        <v>14</v>
      </c>
      <c r="C27">
        <f>SQRT((quadrupoles_dft!J27/-stdev!B27)-(dipoles_dft!H27/-stdev!B27)^2)</f>
        <v>0.99232492483976742</v>
      </c>
      <c r="D27">
        <f>SQRT((quadrupoles_dft!K27/-stdev!B27)-(dipoles_dft!I27/-stdev!B27)^2)</f>
        <v>0.99232492483976742</v>
      </c>
      <c r="E27">
        <f>SQRT((quadrupoles_dft!L27/-stdev!B27)-(dipoles_dft!J27/-stdev!B27)^2)</f>
        <v>1.5090006759669121</v>
      </c>
      <c r="R27" t="s">
        <v>63</v>
      </c>
      <c r="S27">
        <v>1.1036553460198975</v>
      </c>
    </row>
    <row r="28" spans="1:19" x14ac:dyDescent="0.25">
      <c r="A28" t="s">
        <v>28</v>
      </c>
      <c r="B28">
        <v>14</v>
      </c>
      <c r="C28">
        <f>SQRT((quadrupoles_dft!J28/-stdev!B28)-(dipoles_dft!H28/-stdev!B28)^2)</f>
        <v>0.99653238148898104</v>
      </c>
      <c r="D28">
        <f>SQRT((quadrupoles_dft!K28/-stdev!B28)-(dipoles_dft!I28/-stdev!B28)^2)</f>
        <v>0.99653238148898104</v>
      </c>
      <c r="E28">
        <f>SQRT((quadrupoles_dft!L28/-stdev!B28)-(dipoles_dft!J28/-stdev!B28)^2)</f>
        <v>1.5072806815784505</v>
      </c>
      <c r="R28" t="s">
        <v>62</v>
      </c>
      <c r="S28">
        <v>1.1053465110122029</v>
      </c>
    </row>
    <row r="29" spans="1:19" x14ac:dyDescent="0.25">
      <c r="A29" t="s">
        <v>29</v>
      </c>
      <c r="B29">
        <v>14</v>
      </c>
      <c r="C29">
        <f>SQRT((quadrupoles_dft!J29/-stdev!B29)-(dipoles_dft!H29/-stdev!B29)^2)</f>
        <v>0.98966858613499997</v>
      </c>
      <c r="D29">
        <f>SQRT((quadrupoles_dft!K29/-stdev!B29)-(dipoles_dft!I29/-stdev!B29)^2)</f>
        <v>0.98966858613499997</v>
      </c>
      <c r="E29">
        <f>SQRT((quadrupoles_dft!L29/-stdev!B29)-(dipoles_dft!J29/-stdev!B29)^2)</f>
        <v>1.5101112597612627</v>
      </c>
      <c r="R29" t="s">
        <v>64</v>
      </c>
      <c r="S29">
        <v>1.1096506983258188</v>
      </c>
    </row>
    <row r="30" spans="1:19" x14ac:dyDescent="0.25">
      <c r="A30" t="s">
        <v>30</v>
      </c>
      <c r="B30">
        <v>14</v>
      </c>
      <c r="C30">
        <f>SQRT((quadrupoles_dft!J30/-stdev!B30)-(dipoles_dft!H30/-stdev!B30)^2)</f>
        <v>0.99075524941977977</v>
      </c>
      <c r="D30">
        <f>SQRT((quadrupoles_dft!K30/-stdev!B30)-(dipoles_dft!I30/-stdev!B30)^2)</f>
        <v>0.99075524941977977</v>
      </c>
      <c r="E30">
        <f>SQRT((quadrupoles_dft!L30/-stdev!B30)-(dipoles_dft!J30/-stdev!B30)^2)</f>
        <v>1.5078574168156442</v>
      </c>
      <c r="R30" t="s">
        <v>67</v>
      </c>
      <c r="S30">
        <v>1.1096506983258188</v>
      </c>
    </row>
    <row r="31" spans="1:19" x14ac:dyDescent="0.25">
      <c r="A31" t="s">
        <v>31</v>
      </c>
      <c r="B31">
        <v>14</v>
      </c>
      <c r="C31">
        <f>SQRT((quadrupoles_dft!J31/-stdev!B31)-(dipoles_dft!H31/-stdev!B31)^2)</f>
        <v>0.99933872728377238</v>
      </c>
      <c r="D31">
        <f>SQRT((quadrupoles_dft!K31/-stdev!B31)-(dipoles_dft!I31/-stdev!B31)^2)</f>
        <v>0.99933872728377238</v>
      </c>
      <c r="E31">
        <f>SQRT((quadrupoles_dft!L31/-stdev!B31)-(dipoles_dft!J31/-stdev!B31)^2)</f>
        <v>1.5080708485115668</v>
      </c>
      <c r="R31" t="s">
        <v>10</v>
      </c>
      <c r="S31">
        <v>1.2982036938279715</v>
      </c>
    </row>
    <row r="32" spans="1:19" x14ac:dyDescent="0.25">
      <c r="A32" t="s">
        <v>32</v>
      </c>
      <c r="B32">
        <v>10</v>
      </c>
      <c r="C32">
        <f>SQRT((quadrupoles_dft!J32/-stdev!B32)-(dipoles_dft!H32/-stdev!B32)^2)</f>
        <v>1.0083176123214672</v>
      </c>
      <c r="D32">
        <f>SQRT((quadrupoles_dft!K32/-stdev!B32)-(dipoles_dft!I32/-stdev!B32)^2)</f>
        <v>0.99016413591282293</v>
      </c>
      <c r="E32">
        <f>SQRT((quadrupoles_dft!L32/-stdev!B32)-(dipoles_dft!J32/-stdev!B32)^2)</f>
        <v>1.0152942666866889</v>
      </c>
      <c r="R32" t="s">
        <v>11</v>
      </c>
      <c r="S32">
        <v>1.2998241365863921</v>
      </c>
    </row>
    <row r="33" spans="1:19" x14ac:dyDescent="0.25">
      <c r="A33" t="s">
        <v>33</v>
      </c>
      <c r="B33">
        <v>10</v>
      </c>
      <c r="C33">
        <f>SQRT((quadrupoles_dft!J33/-stdev!B33)-(dipoles_dft!H33/-stdev!B33)^2)</f>
        <v>1.0193983581845716</v>
      </c>
      <c r="D33">
        <f>SQRT((quadrupoles_dft!K33/-stdev!B33)-(dipoles_dft!I33/-stdev!B33)^2)</f>
        <v>1.002314344323735</v>
      </c>
      <c r="E33">
        <f>SQRT((quadrupoles_dft!L33/-stdev!B33)-(dipoles_dft!J33/-stdev!B33)^2)</f>
        <v>1.0263753779265874</v>
      </c>
      <c r="R33" t="s">
        <v>8</v>
      </c>
      <c r="S33">
        <v>1.3006465275340067</v>
      </c>
    </row>
    <row r="34" spans="1:19" x14ac:dyDescent="0.25">
      <c r="A34" t="s">
        <v>34</v>
      </c>
      <c r="B34">
        <v>10</v>
      </c>
      <c r="C34">
        <f>SQRT((quadrupoles_dft!J34/-stdev!B34)-(dipoles_dft!H34/-stdev!B34)^2)</f>
        <v>1.028671418906776</v>
      </c>
      <c r="D34">
        <f>SQRT((quadrupoles_dft!K34/-stdev!B34)-(dipoles_dft!I34/-stdev!B34)^2)</f>
        <v>1.0117639404789385</v>
      </c>
      <c r="E34">
        <f>SQRT((quadrupoles_dft!L34/-stdev!B34)-(dipoles_dft!J34/-stdev!B34)^2)</f>
        <v>1.035576114569269</v>
      </c>
      <c r="R34" t="s">
        <v>7</v>
      </c>
      <c r="S34">
        <v>1.3015119116554674</v>
      </c>
    </row>
    <row r="35" spans="1:19" x14ac:dyDescent="0.25">
      <c r="A35" t="s">
        <v>35</v>
      </c>
      <c r="B35">
        <v>10</v>
      </c>
      <c r="C35">
        <f>SQRT((quadrupoles_dft!J35/-stdev!B35)-(dipoles_dft!H35/-stdev!B35)^2)</f>
        <v>1.014345579887959</v>
      </c>
      <c r="D35">
        <f>SQRT((quadrupoles_dft!K35/-stdev!B35)-(dipoles_dft!I35/-stdev!B35)^2)</f>
        <v>0.99651385068665199</v>
      </c>
      <c r="E35">
        <f>SQRT((quadrupoles_dft!L35/-stdev!B35)-(dipoles_dft!J35/-stdev!B35)^2)</f>
        <v>1.0215295964006164</v>
      </c>
      <c r="R35" t="s">
        <v>9</v>
      </c>
      <c r="S35">
        <v>1.3057914746490726</v>
      </c>
    </row>
    <row r="36" spans="1:19" x14ac:dyDescent="0.25">
      <c r="A36" t="s">
        <v>36</v>
      </c>
      <c r="B36">
        <v>10</v>
      </c>
      <c r="C36">
        <f>SQRT((quadrupoles_dft!J36/-stdev!B36)-(dipoles_dft!H36/-stdev!B36)^2)</f>
        <v>1.0186658064825824</v>
      </c>
      <c r="D36">
        <f>SQRT((quadrupoles_dft!K36/-stdev!B36)-(dipoles_dft!I36/-stdev!B36)^2)</f>
        <v>1.0011596211026685</v>
      </c>
      <c r="E36">
        <f>SQRT((quadrupoles_dft!L36/-stdev!B36)-(dipoles_dft!J36/-stdev!B36)^2)</f>
        <v>1.0261577307332475</v>
      </c>
      <c r="R36" t="s">
        <v>12</v>
      </c>
      <c r="S36">
        <v>1.3057914746490726</v>
      </c>
    </row>
    <row r="37" spans="1:19" x14ac:dyDescent="0.25">
      <c r="A37" t="s">
        <v>37</v>
      </c>
      <c r="B37">
        <v>10</v>
      </c>
      <c r="C37">
        <f>SQRT((quadrupoles_dft!J37/-stdev!B37)-(dipoles_dft!H37/-stdev!B37)^2)</f>
        <v>1.028671418906776</v>
      </c>
      <c r="D37">
        <f>SQRT((quadrupoles_dft!K37/-stdev!B37)-(dipoles_dft!I37/-stdev!B37)^2)</f>
        <v>1.0117639404789385</v>
      </c>
      <c r="E37">
        <f>SQRT((quadrupoles_dft!L37/-stdev!B37)-(dipoles_dft!J37/-stdev!B37)^2)</f>
        <v>1.035576114569269</v>
      </c>
      <c r="R37" t="s">
        <v>13</v>
      </c>
      <c r="S37">
        <v>1.3972208851020782</v>
      </c>
    </row>
    <row r="38" spans="1:19" x14ac:dyDescent="0.25">
      <c r="A38" t="s">
        <v>38</v>
      </c>
      <c r="B38">
        <v>15</v>
      </c>
      <c r="C38" t="e">
        <f>SQRT((quadrupoles_dft!J38/-stdev!B38)-(dipoles_dft!H38/-stdev!B38)^2)</f>
        <v>#VALUE!</v>
      </c>
      <c r="D38" t="e">
        <f>SQRT((quadrupoles_dft!K38/-stdev!B38)-(dipoles_dft!I38/-stdev!B38)^2)</f>
        <v>#VALUE!</v>
      </c>
      <c r="E38" t="e">
        <f>SQRT((quadrupoles_dft!L38/-stdev!B38)-(dipoles_dft!J38/-stdev!B38)^2)</f>
        <v>#VALUE!</v>
      </c>
      <c r="R38" t="s">
        <v>16</v>
      </c>
      <c r="S38">
        <v>1.4798493471234695</v>
      </c>
    </row>
    <row r="39" spans="1:19" x14ac:dyDescent="0.25">
      <c r="A39" t="s">
        <v>39</v>
      </c>
      <c r="B39">
        <v>15</v>
      </c>
      <c r="C39">
        <f>SQRT((quadrupoles_dft!J39/-stdev!B39)-(dipoles_dft!H39/-stdev!B39)^2)</f>
        <v>1.3019987767743921</v>
      </c>
      <c r="D39">
        <f>SQRT((quadrupoles_dft!K39/-stdev!B39)-(dipoles_dft!I39/-stdev!B39)^2)</f>
        <v>1.4598635199594661</v>
      </c>
      <c r="E39">
        <f>SQRT((quadrupoles_dft!L39/-stdev!B39)-(dipoles_dft!J39/-stdev!B39)^2)</f>
        <v>0.99323232986169285</v>
      </c>
      <c r="R39" t="s">
        <v>56</v>
      </c>
      <c r="S39">
        <v>1.4811289756168318</v>
      </c>
    </row>
    <row r="40" spans="1:19" x14ac:dyDescent="0.25">
      <c r="A40" t="s">
        <v>40</v>
      </c>
      <c r="B40">
        <v>15</v>
      </c>
      <c r="C40">
        <f>SQRT((quadrupoles_dft!J40/-stdev!B40)-(dipoles_dft!H40/-stdev!B40)^2)</f>
        <v>1.3077226247589464</v>
      </c>
      <c r="D40">
        <f>SQRT((quadrupoles_dft!K40/-stdev!B40)-(dipoles_dft!I40/-stdev!B40)^2)</f>
        <v>1.4632252301180291</v>
      </c>
      <c r="E40">
        <f>SQRT((quadrupoles_dft!L40/-stdev!B40)-(dipoles_dft!J40/-stdev!B40)^2)</f>
        <v>0.99698539677921072</v>
      </c>
      <c r="R40" t="s">
        <v>59</v>
      </c>
      <c r="S40">
        <v>1.4817007476472974</v>
      </c>
    </row>
    <row r="41" spans="1:19" x14ac:dyDescent="0.25">
      <c r="A41" t="s">
        <v>41</v>
      </c>
      <c r="B41">
        <v>15</v>
      </c>
      <c r="C41">
        <f>SQRT((quadrupoles_dft!J41/-stdev!B41)-(dipoles_dft!H41/-stdev!B41)^2)</f>
        <v>1.2998236531648122</v>
      </c>
      <c r="D41">
        <f>SQRT((quadrupoles_dft!K41/-stdev!B41)-(dipoles_dft!I41/-stdev!B41)^2)</f>
        <v>1.4571914384630502</v>
      </c>
      <c r="E41">
        <f>SQRT((quadrupoles_dft!L41/-stdev!B41)-(dipoles_dft!J41/-stdev!B41)^2)</f>
        <v>0.9904885451980755</v>
      </c>
      <c r="R41" t="s">
        <v>57</v>
      </c>
      <c r="S41">
        <v>1.4837612346294671</v>
      </c>
    </row>
    <row r="42" spans="1:19" x14ac:dyDescent="0.25">
      <c r="A42" t="s">
        <v>42</v>
      </c>
      <c r="B42">
        <v>15</v>
      </c>
      <c r="C42">
        <f>SQRT((quadrupoles_dft!J42/-stdev!B42)-(dipoles_dft!H42/-stdev!B42)^2)</f>
        <v>1.3024340897095503</v>
      </c>
      <c r="D42">
        <f>SQRT((quadrupoles_dft!K42/-stdev!B42)-(dipoles_dft!I42/-stdev!B42)^2)</f>
        <v>1.4584490053425823</v>
      </c>
      <c r="E42">
        <f>SQRT((quadrupoles_dft!L42/-stdev!B42)-(dipoles_dft!J42/-stdev!B42)^2)</f>
        <v>0.9909953834275852</v>
      </c>
      <c r="R42" t="s">
        <v>60</v>
      </c>
      <c r="S42">
        <v>1.4841561582791283</v>
      </c>
    </row>
    <row r="43" spans="1:19" x14ac:dyDescent="0.25">
      <c r="A43" t="s">
        <v>43</v>
      </c>
      <c r="B43">
        <v>15</v>
      </c>
      <c r="C43">
        <f>SQRT((quadrupoles_dft!J43/-stdev!B43)-(dipoles_dft!H43/-stdev!B43)^2)</f>
        <v>1.3077226247589464</v>
      </c>
      <c r="D43">
        <f>SQRT((quadrupoles_dft!K43/-stdev!B43)-(dipoles_dft!I43/-stdev!B43)^2)</f>
        <v>1.4632252301180291</v>
      </c>
      <c r="E43">
        <f>SQRT((quadrupoles_dft!L43/-stdev!B43)-(dipoles_dft!J43/-stdev!B43)^2)</f>
        <v>0.99698539677921072</v>
      </c>
      <c r="R43" t="s">
        <v>58</v>
      </c>
      <c r="S43">
        <v>1.4879608168096397</v>
      </c>
    </row>
    <row r="44" spans="1:19" x14ac:dyDescent="0.25">
      <c r="A44" t="s">
        <v>44</v>
      </c>
      <c r="B44">
        <v>10</v>
      </c>
      <c r="C44">
        <f>SQRT((quadrupoles_dft!J44/-stdev!B44)-(dipoles_dft!H44/-stdev!B44)^2)</f>
        <v>0.87530544960033574</v>
      </c>
      <c r="D44">
        <f>SQRT((quadrupoles_dft!K44/-stdev!B44)-(dipoles_dft!I44/-stdev!B44)^2)</f>
        <v>0.87530544960033574</v>
      </c>
      <c r="E44">
        <f>SQRT((quadrupoles_dft!L44/-stdev!B44)-(dipoles_dft!J44/-stdev!B44)^2)</f>
        <v>0.81785933881478079</v>
      </c>
      <c r="R44" t="s">
        <v>61</v>
      </c>
      <c r="S44">
        <v>1.4879608168096397</v>
      </c>
    </row>
    <row r="45" spans="1:19" x14ac:dyDescent="0.25">
      <c r="A45" t="s">
        <v>45</v>
      </c>
      <c r="B45">
        <v>10</v>
      </c>
      <c r="C45">
        <f>SQRT((quadrupoles_dft!J45/-stdev!B45)-(dipoles_dft!H45/-stdev!B45)^2)</f>
        <v>0.8870805758489192</v>
      </c>
      <c r="D45">
        <f>SQRT((quadrupoles_dft!K45/-stdev!B45)-(dipoles_dft!I45/-stdev!B45)^2)</f>
        <v>0.8870805758489192</v>
      </c>
      <c r="E45">
        <f>SQRT((quadrupoles_dft!L45/-stdev!B45)-(dipoles_dft!J45/-stdev!B45)^2)</f>
        <v>0.86484405613142512</v>
      </c>
      <c r="R45" t="s">
        <v>14</v>
      </c>
      <c r="S45">
        <v>1.4881591913529397</v>
      </c>
    </row>
    <row r="46" spans="1:19" x14ac:dyDescent="0.25">
      <c r="A46" t="s">
        <v>46</v>
      </c>
      <c r="B46">
        <v>10</v>
      </c>
      <c r="C46">
        <f>SQRT((quadrupoles_dft!J46/-stdev!B46)-(dipoles_dft!H46/-stdev!B46)^2)</f>
        <v>0.89535856917627143</v>
      </c>
      <c r="D46">
        <f>SQRT((quadrupoles_dft!K46/-stdev!B46)-(dipoles_dft!I46/-stdev!B46)^2)</f>
        <v>0.89535856917627143</v>
      </c>
      <c r="E46">
        <f>SQRT((quadrupoles_dft!L46/-stdev!B46)-(dipoles_dft!J46/-stdev!B46)^2)</f>
        <v>0.87529819831628797</v>
      </c>
      <c r="R46" t="s">
        <v>17</v>
      </c>
      <c r="S46">
        <v>1.4884671973099024</v>
      </c>
    </row>
    <row r="47" spans="1:19" x14ac:dyDescent="0.25">
      <c r="A47" t="s">
        <v>47</v>
      </c>
      <c r="B47">
        <v>10</v>
      </c>
      <c r="C47">
        <f>SQRT((quadrupoles_dft!J47/-stdev!B47)-(dipoles_dft!H47/-stdev!B47)^2)</f>
        <v>0.88211613645249676</v>
      </c>
      <c r="D47">
        <f>SQRT((quadrupoles_dft!K47/-stdev!B47)-(dipoles_dft!I47/-stdev!B47)^2)</f>
        <v>0.88211613645249676</v>
      </c>
      <c r="E47">
        <f>SQRT((quadrupoles_dft!L47/-stdev!B47)-(dipoles_dft!J47/-stdev!B47)^2)</f>
        <v>0.85837318662627127</v>
      </c>
      <c r="R47" t="s">
        <v>15</v>
      </c>
      <c r="S47">
        <v>1.5011067156601614</v>
      </c>
    </row>
    <row r="48" spans="1:19" x14ac:dyDescent="0.25">
      <c r="A48" t="s">
        <v>48</v>
      </c>
      <c r="B48">
        <v>10</v>
      </c>
      <c r="C48">
        <f>SQRT((quadrupoles_dft!J48/-stdev!B48)-(dipoles_dft!H48/-stdev!B48)^2)</f>
        <v>0.88617794938846228</v>
      </c>
      <c r="D48">
        <f>SQRT((quadrupoles_dft!K48/-stdev!B48)-(dipoles_dft!I48/-stdev!B48)^2)</f>
        <v>0.88617794938846228</v>
      </c>
      <c r="E48">
        <f>SQRT((quadrupoles_dft!L48/-stdev!B48)-(dipoles_dft!J48/-stdev!B48)^2)</f>
        <v>0.86415389319549474</v>
      </c>
      <c r="R48" t="s">
        <v>18</v>
      </c>
      <c r="S48">
        <v>1.5011067156601614</v>
      </c>
    </row>
    <row r="49" spans="1:19" x14ac:dyDescent="0.25">
      <c r="A49" t="s">
        <v>49</v>
      </c>
      <c r="B49">
        <v>10</v>
      </c>
      <c r="C49">
        <f>SQRT((quadrupoles_dft!J49/-stdev!B49)-(dipoles_dft!H49/-stdev!B49)^2)</f>
        <v>0.89535856917627143</v>
      </c>
      <c r="D49">
        <f>SQRT((quadrupoles_dft!K49/-stdev!B49)-(dipoles_dft!I49/-stdev!B49)^2)</f>
        <v>0.89535856917627143</v>
      </c>
      <c r="E49">
        <f>SQRT((quadrupoles_dft!L49/-stdev!B49)-(dipoles_dft!J49/-stdev!B49)^2)</f>
        <v>0.87529819831628797</v>
      </c>
      <c r="R49" t="s">
        <v>28</v>
      </c>
      <c r="S49">
        <v>1.5072806815784505</v>
      </c>
    </row>
    <row r="50" spans="1:19" x14ac:dyDescent="0.25">
      <c r="A50" t="s">
        <v>50</v>
      </c>
      <c r="B50">
        <v>17</v>
      </c>
      <c r="C50">
        <f>SQRT((quadrupoles_dft!J50/-stdev!B50)-(dipoles_dft!H50/-stdev!B50)^2)</f>
        <v>0.97204273057952273</v>
      </c>
      <c r="D50">
        <f>SQRT((quadrupoles_dft!K50/-stdev!B50)-(dipoles_dft!I50/-stdev!B50)^2)</f>
        <v>1.5873285569553199</v>
      </c>
      <c r="E50">
        <f>SQRT((quadrupoles_dft!L50/-stdev!B50)-(dipoles_dft!J50/-stdev!B50)^2)</f>
        <v>0.929946962630952</v>
      </c>
      <c r="R50" t="s">
        <v>30</v>
      </c>
      <c r="S50">
        <v>1.5078574168156442</v>
      </c>
    </row>
    <row r="51" spans="1:19" x14ac:dyDescent="0.25">
      <c r="A51" t="s">
        <v>51</v>
      </c>
      <c r="B51">
        <v>17</v>
      </c>
      <c r="C51">
        <f>SQRT((quadrupoles_dft!J51/-stdev!B51)-(dipoles_dft!H51/-stdev!B51)^2)</f>
        <v>0.98201470748935937</v>
      </c>
      <c r="D51">
        <f>SQRT((quadrupoles_dft!K51/-stdev!B51)-(dipoles_dft!I51/-stdev!B51)^2)</f>
        <v>1.588817048951757</v>
      </c>
      <c r="E51">
        <f>SQRT((quadrupoles_dft!L51/-stdev!B51)-(dipoles_dft!J51/-stdev!B51)^2)</f>
        <v>0.93650470998046154</v>
      </c>
      <c r="R51" t="s">
        <v>31</v>
      </c>
      <c r="S51">
        <v>1.5080708485115668</v>
      </c>
    </row>
    <row r="52" spans="1:19" x14ac:dyDescent="0.25">
      <c r="A52" t="s">
        <v>52</v>
      </c>
      <c r="B52">
        <v>17</v>
      </c>
      <c r="C52">
        <f>SQRT((quadrupoles_dft!J52/-stdev!B52)-(dipoles_dft!H52/-stdev!B52)^2)</f>
        <v>0.99055014862413893</v>
      </c>
      <c r="D52">
        <f>SQRT((quadrupoles_dft!K52/-stdev!B52)-(dipoles_dft!I52/-stdev!B52)^2)</f>
        <v>1.5929107023625952</v>
      </c>
      <c r="E52">
        <f>SQRT((quadrupoles_dft!L52/-stdev!B52)-(dipoles_dft!J52/-stdev!B52)^2)</f>
        <v>0.94113565381805364</v>
      </c>
      <c r="R52" t="s">
        <v>26</v>
      </c>
      <c r="S52">
        <v>1.5090006759669121</v>
      </c>
    </row>
    <row r="53" spans="1:19" x14ac:dyDescent="0.25">
      <c r="A53" t="s">
        <v>53</v>
      </c>
      <c r="B53">
        <v>17</v>
      </c>
      <c r="C53">
        <f>SQRT((quadrupoles_dft!J53/-stdev!B53)-(dipoles_dft!H53/-stdev!B53)^2)</f>
        <v>0.97763143678601305</v>
      </c>
      <c r="D53">
        <f>SQRT((quadrupoles_dft!K53/-stdev!B53)-(dipoles_dft!I53/-stdev!B53)^2)</f>
        <v>1.5861053557734011</v>
      </c>
      <c r="E53">
        <f>SQRT((quadrupoles_dft!L53/-stdev!B53)-(dipoles_dft!J53/-stdev!B53)^2)</f>
        <v>0.93295811643593851</v>
      </c>
      <c r="R53" t="s">
        <v>29</v>
      </c>
      <c r="S53">
        <v>1.5101112597612627</v>
      </c>
    </row>
    <row r="54" spans="1:19" x14ac:dyDescent="0.25">
      <c r="A54" t="s">
        <v>54</v>
      </c>
      <c r="B54">
        <v>17</v>
      </c>
      <c r="C54">
        <f>SQRT((quadrupoles_dft!J54/-stdev!B54)-(dipoles_dft!H54/-stdev!B54)^2)</f>
        <v>0.9821759206345132</v>
      </c>
      <c r="D54">
        <f>SQRT((quadrupoles_dft!K54/-stdev!B54)-(dipoles_dft!I54/-stdev!B54)^2)</f>
        <v>1.587572072730737</v>
      </c>
      <c r="E54">
        <f>SQRT((quadrupoles_dft!L54/-stdev!B54)-(dipoles_dft!J54/-stdev!B54)^2)</f>
        <v>0.93452992740051799</v>
      </c>
      <c r="R54" t="s">
        <v>25</v>
      </c>
      <c r="S54">
        <v>1.5255081688068635</v>
      </c>
    </row>
    <row r="55" spans="1:19" x14ac:dyDescent="0.25">
      <c r="A55" t="s">
        <v>55</v>
      </c>
      <c r="B55">
        <v>17</v>
      </c>
      <c r="C55">
        <f>SQRT((quadrupoles_dft!J55/-stdev!B55)-(dipoles_dft!H55/-stdev!B55)^2)</f>
        <v>0.99055014862413893</v>
      </c>
      <c r="D55">
        <f>SQRT((quadrupoles_dft!K55/-stdev!B55)-(dipoles_dft!I55/-stdev!B55)^2)</f>
        <v>1.5929107023625952</v>
      </c>
      <c r="E55">
        <f>SQRT((quadrupoles_dft!L55/-stdev!B55)-(dipoles_dft!J55/-stdev!B55)^2)</f>
        <v>0.94113565381805364</v>
      </c>
      <c r="R55" t="s">
        <v>4</v>
      </c>
      <c r="S55">
        <v>1.6677626619101189</v>
      </c>
    </row>
    <row r="56" spans="1:19" x14ac:dyDescent="0.25">
      <c r="A56" t="s">
        <v>56</v>
      </c>
      <c r="B56">
        <v>14</v>
      </c>
      <c r="C56">
        <f>SQRT((quadrupoles_dft!J56/-stdev!B56)-(dipoles_dft!H56/-stdev!B56)^2)</f>
        <v>0.99960521347693709</v>
      </c>
      <c r="D56">
        <f>SQRT((quadrupoles_dft!K56/-stdev!B56)-(dipoles_dft!I56/-stdev!B56)^2)</f>
        <v>0.99960521347693709</v>
      </c>
      <c r="E56">
        <f>SQRT((quadrupoles_dft!L56/-stdev!B56)-(dipoles_dft!J56/-stdev!B56)^2)</f>
        <v>1.4811289756168318</v>
      </c>
      <c r="R56" t="s">
        <v>5</v>
      </c>
      <c r="S56">
        <v>1.670651759731236</v>
      </c>
    </row>
    <row r="57" spans="1:19" x14ac:dyDescent="0.25">
      <c r="A57" t="s">
        <v>57</v>
      </c>
      <c r="B57">
        <v>14</v>
      </c>
      <c r="C57">
        <f>SQRT((quadrupoles_dft!J57/-stdev!B57)-(dipoles_dft!H57/-stdev!B57)^2)</f>
        <v>0.99400327890842499</v>
      </c>
      <c r="D57">
        <f>SQRT((quadrupoles_dft!K57/-stdev!B57)-(dipoles_dft!I57/-stdev!B57)^2)</f>
        <v>0.99400327890842499</v>
      </c>
      <c r="E57">
        <f>SQRT((quadrupoles_dft!L57/-stdev!B57)-(dipoles_dft!J57/-stdev!B57)^2)</f>
        <v>1.4837612346294671</v>
      </c>
      <c r="R57" t="s">
        <v>2</v>
      </c>
      <c r="S57">
        <v>1.6716708328908005</v>
      </c>
    </row>
    <row r="58" spans="1:19" x14ac:dyDescent="0.25">
      <c r="A58" t="s">
        <v>58</v>
      </c>
      <c r="B58">
        <v>14</v>
      </c>
      <c r="C58">
        <f>SQRT((quadrupoles_dft!J58/-stdev!B58)-(dipoles_dft!H58/-stdev!B58)^2)</f>
        <v>0.99572222379200714</v>
      </c>
      <c r="D58">
        <f>SQRT((quadrupoles_dft!K58/-stdev!B58)-(dipoles_dft!I58/-stdev!B58)^2)</f>
        <v>0.99572222379200714</v>
      </c>
      <c r="E58">
        <f>SQRT((quadrupoles_dft!L58/-stdev!B58)-(dipoles_dft!J58/-stdev!B58)^2)</f>
        <v>1.4879608168096397</v>
      </c>
      <c r="R58" t="s">
        <v>3</v>
      </c>
      <c r="S58">
        <v>1.678921113656453</v>
      </c>
    </row>
    <row r="59" spans="1:19" x14ac:dyDescent="0.25">
      <c r="A59" t="s">
        <v>59</v>
      </c>
      <c r="B59">
        <v>14</v>
      </c>
      <c r="C59">
        <f>SQRT((quadrupoles_dft!J59/-stdev!B59)-(dipoles_dft!H59/-stdev!B59)^2)</f>
        <v>0.9922426270531316</v>
      </c>
      <c r="D59">
        <f>SQRT((quadrupoles_dft!K59/-stdev!B59)-(dipoles_dft!I59/-stdev!B59)^2)</f>
        <v>0.9922426270531316</v>
      </c>
      <c r="E59">
        <f>SQRT((quadrupoles_dft!L59/-stdev!B59)-(dipoles_dft!J59/-stdev!B59)^2)</f>
        <v>1.4817007476472974</v>
      </c>
      <c r="R59" t="s">
        <v>6</v>
      </c>
      <c r="S59">
        <v>1.678921113656453</v>
      </c>
    </row>
    <row r="60" spans="1:19" x14ac:dyDescent="0.25">
      <c r="A60" t="s">
        <v>60</v>
      </c>
      <c r="B60">
        <v>14</v>
      </c>
      <c r="C60">
        <f>SQRT((quadrupoles_dft!J60/-stdev!B60)-(dipoles_dft!H60/-stdev!B60)^2)</f>
        <v>0.99118667332193289</v>
      </c>
      <c r="D60">
        <f>SQRT((quadrupoles_dft!K60/-stdev!B60)-(dipoles_dft!I60/-stdev!B60)^2)</f>
        <v>0.99118667332193289</v>
      </c>
      <c r="E60">
        <f>SQRT((quadrupoles_dft!L60/-stdev!B60)-(dipoles_dft!J60/-stdev!B60)^2)</f>
        <v>1.4841561582791283</v>
      </c>
      <c r="R60" t="s">
        <v>1</v>
      </c>
      <c r="S60">
        <v>1.6981447914296268</v>
      </c>
    </row>
    <row r="61" spans="1:19" x14ac:dyDescent="0.25">
      <c r="A61" t="s">
        <v>61</v>
      </c>
      <c r="B61">
        <v>14</v>
      </c>
      <c r="C61">
        <f>SQRT((quadrupoles_dft!J61/-stdev!B61)-(dipoles_dft!H61/-stdev!B61)^2)</f>
        <v>0.99572222379200714</v>
      </c>
      <c r="D61">
        <f>SQRT((quadrupoles_dft!K61/-stdev!B61)-(dipoles_dft!I61/-stdev!B61)^2)</f>
        <v>0.99572222379200714</v>
      </c>
      <c r="E61">
        <f>SQRT((quadrupoles_dft!L61/-stdev!B61)-(dipoles_dft!J61/-stdev!B61)^2)</f>
        <v>1.4879608168096397</v>
      </c>
      <c r="R61" t="s">
        <v>24</v>
      </c>
      <c r="S61">
        <v>2.1615755565976569</v>
      </c>
    </row>
    <row r="62" spans="1:19" x14ac:dyDescent="0.25">
      <c r="A62" t="s">
        <v>62</v>
      </c>
      <c r="B62">
        <v>9</v>
      </c>
      <c r="C62">
        <f>SQRT((quadrupoles_dft!J62/-stdev!B62)-(dipoles_dft!H62/-stdev!B62)^2)</f>
        <v>1.0026723569246729</v>
      </c>
      <c r="D62">
        <f>SQRT((quadrupoles_dft!K62/-stdev!B62)-(dipoles_dft!I62/-stdev!B62)^2)</f>
        <v>0.89962047367762865</v>
      </c>
      <c r="E62">
        <f>SQRT((quadrupoles_dft!L62/-stdev!B62)-(dipoles_dft!J62/-stdev!B62)^2)</f>
        <v>1.1053465110122029</v>
      </c>
      <c r="R62" t="s">
        <v>21</v>
      </c>
      <c r="S62">
        <v>2.1615757274662761</v>
      </c>
    </row>
    <row r="63" spans="1:19" x14ac:dyDescent="0.25">
      <c r="A63" t="s">
        <v>63</v>
      </c>
      <c r="B63">
        <v>9</v>
      </c>
      <c r="C63">
        <f>SQRT((quadrupoles_dft!J63/-stdev!B63)-(dipoles_dft!H63/-stdev!B63)^2)</f>
        <v>0.91038167930778113</v>
      </c>
      <c r="D63">
        <f>SQRT((quadrupoles_dft!K63/-stdev!B63)-(dipoles_dft!I63/-stdev!B63)^2)</f>
        <v>1.013738379657285</v>
      </c>
      <c r="E63">
        <f>SQRT((quadrupoles_dft!L63/-stdev!B63)-(dipoles_dft!J63/-stdev!B63)^2)</f>
        <v>1.1036553460198975</v>
      </c>
      <c r="R63" t="s">
        <v>23</v>
      </c>
      <c r="S63">
        <v>2.1618567295283024</v>
      </c>
    </row>
    <row r="64" spans="1:19" x14ac:dyDescent="0.25">
      <c r="A64" t="s">
        <v>64</v>
      </c>
      <c r="B64">
        <v>9</v>
      </c>
      <c r="C64">
        <f>SQRT((quadrupoles_dft!J64/-stdev!B64)-(dipoles_dft!H64/-stdev!B64)^2)</f>
        <v>0.9181217485610742</v>
      </c>
      <c r="D64">
        <f>SQRT((quadrupoles_dft!K64/-stdev!B64)-(dipoles_dft!I64/-stdev!B64)^2)</f>
        <v>1.023086116226684</v>
      </c>
      <c r="E64">
        <f>SQRT((quadrupoles_dft!L64/-stdev!B64)-(dipoles_dft!J64/-stdev!B64)^2)</f>
        <v>1.1096506983258188</v>
      </c>
      <c r="R64" t="s">
        <v>20</v>
      </c>
      <c r="S64">
        <v>2.1631464435315007</v>
      </c>
    </row>
    <row r="65" spans="1:19" x14ac:dyDescent="0.25">
      <c r="A65" t="s">
        <v>65</v>
      </c>
      <c r="B65">
        <v>9</v>
      </c>
      <c r="C65">
        <f>SQRT((quadrupoles_dft!J65/-stdev!B65)-(dipoles_dft!H65/-stdev!B65)^2)</f>
        <v>0.90476650898004862</v>
      </c>
      <c r="D65">
        <f>SQRT((quadrupoles_dft!K65/-stdev!B65)-(dipoles_dft!I65/-stdev!B65)^2)</f>
        <v>1.0083430888604996</v>
      </c>
      <c r="E65">
        <f>SQRT((quadrupoles_dft!L65/-stdev!B65)-(dipoles_dft!J65/-stdev!B65)^2)</f>
        <v>1.1001792376888555</v>
      </c>
      <c r="R65" t="s">
        <v>22</v>
      </c>
      <c r="S65">
        <v>2.163681245290435</v>
      </c>
    </row>
    <row r="66" spans="1:19" x14ac:dyDescent="0.25">
      <c r="A66" t="s">
        <v>66</v>
      </c>
      <c r="B66">
        <v>9</v>
      </c>
      <c r="C66">
        <f>SQRT((quadrupoles_dft!J66/-stdev!B66)-(dipoles_dft!H66/-stdev!B66)^2)</f>
        <v>0.90784186568422931</v>
      </c>
      <c r="D66">
        <f>SQRT((quadrupoles_dft!K66/-stdev!B66)-(dipoles_dft!I66/-stdev!B66)^2)</f>
        <v>1.0128018120219935</v>
      </c>
      <c r="E66">
        <f>SQRT((quadrupoles_dft!L66/-stdev!B66)-(dipoles_dft!J66/-stdev!B66)^2)</f>
        <v>1.1028063165816999</v>
      </c>
      <c r="R66" t="s">
        <v>19</v>
      </c>
      <c r="S66">
        <v>2.1741662885199315</v>
      </c>
    </row>
    <row r="67" spans="1:19" x14ac:dyDescent="0.25">
      <c r="A67" t="s">
        <v>67</v>
      </c>
      <c r="B67">
        <v>9</v>
      </c>
      <c r="C67">
        <f>SQRT((quadrupoles_dft!J67/-stdev!B67)-(dipoles_dft!H67/-stdev!B67)^2)</f>
        <v>0.9181217485610742</v>
      </c>
      <c r="D67">
        <f>SQRT((quadrupoles_dft!K67/-stdev!B67)-(dipoles_dft!I67/-stdev!B67)^2)</f>
        <v>1.023086116226684</v>
      </c>
      <c r="E67">
        <f>SQRT((quadrupoles_dft!L67/-stdev!B67)-(dipoles_dft!J67/-stdev!B67)^2)</f>
        <v>1.1096506983258188</v>
      </c>
      <c r="R67" t="s">
        <v>38</v>
      </c>
      <c r="S67" t="e">
        <v>#VALUE!</v>
      </c>
    </row>
  </sheetData>
  <sortState xmlns:xlrd2="http://schemas.microsoft.com/office/spreadsheetml/2017/richdata2" ref="R2:S67">
    <sortCondition ref="S2:S6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441E-5CB8-DB41-88F6-0269A43F5B6D}">
  <dimension ref="A1:H67"/>
  <sheetViews>
    <sheetView workbookViewId="0">
      <selection activeCell="B62" sqref="B62"/>
    </sheetView>
  </sheetViews>
  <sheetFormatPr defaultColWidth="11.42578125" defaultRowHeight="15" x14ac:dyDescent="0.25"/>
  <cols>
    <col min="1" max="1" width="10.28515625" bestFit="1" customWidth="1"/>
    <col min="2" max="8" width="12.7109375" bestFit="1" customWidth="1"/>
  </cols>
  <sheetData>
    <row r="1" spans="1:8" x14ac:dyDescent="0.25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5">
      <c r="A2" t="s">
        <v>1</v>
      </c>
      <c r="B2">
        <v>-76.178380872800005</v>
      </c>
      <c r="C2">
        <v>-76.179345365000003</v>
      </c>
      <c r="D2">
        <v>-76.177417183299994</v>
      </c>
      <c r="E2">
        <v>-76.179345365000003</v>
      </c>
      <c r="F2">
        <v>-76.177417183299994</v>
      </c>
      <c r="G2">
        <v>-76.179049098099995</v>
      </c>
      <c r="H2">
        <v>-76.177715170200003</v>
      </c>
    </row>
    <row r="3" spans="1:8" x14ac:dyDescent="0.25">
      <c r="A3" t="s">
        <v>2</v>
      </c>
      <c r="B3">
        <v>-76.535955655099997</v>
      </c>
      <c r="C3">
        <v>-76.536914195099996</v>
      </c>
      <c r="D3">
        <v>-76.534997956400005</v>
      </c>
      <c r="E3">
        <v>-76.536914195099996</v>
      </c>
      <c r="F3">
        <v>-76.534997956400005</v>
      </c>
      <c r="G3">
        <v>-76.536620036800002</v>
      </c>
      <c r="H3">
        <v>-76.535293979100004</v>
      </c>
    </row>
    <row r="4" spans="1:8" x14ac:dyDescent="0.25">
      <c r="A4" t="s">
        <v>3</v>
      </c>
      <c r="B4">
        <v>-76.533694987299995</v>
      </c>
      <c r="C4">
        <v>-76.534654594599999</v>
      </c>
      <c r="D4">
        <v>-76.532736282200005</v>
      </c>
      <c r="E4">
        <v>-76.534654594599999</v>
      </c>
      <c r="F4">
        <v>-76.532736282200005</v>
      </c>
      <c r="G4">
        <v>-76.534377307699998</v>
      </c>
      <c r="H4">
        <v>-76.533015516399999</v>
      </c>
    </row>
    <row r="5" spans="1:8" x14ac:dyDescent="0.25">
      <c r="A5" t="s">
        <v>4</v>
      </c>
      <c r="B5">
        <v>-76.585897780699995</v>
      </c>
      <c r="C5">
        <v>-76.586854774399995</v>
      </c>
      <c r="D5">
        <v>-76.584941598100002</v>
      </c>
      <c r="E5">
        <v>-76.586854774399995</v>
      </c>
      <c r="F5">
        <v>-76.584941598100002</v>
      </c>
      <c r="G5">
        <v>-76.5865523274</v>
      </c>
      <c r="H5">
        <v>-76.585245855899998</v>
      </c>
    </row>
    <row r="6" spans="1:8" x14ac:dyDescent="0.25">
      <c r="A6" t="s">
        <v>5</v>
      </c>
      <c r="B6">
        <v>-76.599781982099998</v>
      </c>
      <c r="C6">
        <v>-76.600736279900005</v>
      </c>
      <c r="D6">
        <v>-76.598828516699996</v>
      </c>
      <c r="E6">
        <v>-76.600736279900005</v>
      </c>
      <c r="F6">
        <v>-76.598828516699996</v>
      </c>
      <c r="G6">
        <v>-76.600443700599996</v>
      </c>
      <c r="H6">
        <v>-76.599122954600006</v>
      </c>
    </row>
    <row r="7" spans="1:8" x14ac:dyDescent="0.25">
      <c r="A7" t="s">
        <v>6</v>
      </c>
      <c r="B7">
        <v>-76.533694987299995</v>
      </c>
      <c r="C7">
        <v>-76.534654594599999</v>
      </c>
      <c r="D7">
        <v>-76.532736282200005</v>
      </c>
      <c r="E7">
        <v>-76.534654594599999</v>
      </c>
      <c r="F7">
        <v>-76.532736282200005</v>
      </c>
      <c r="G7">
        <v>-76.534377307699998</v>
      </c>
      <c r="H7">
        <v>-76.533015516399999</v>
      </c>
    </row>
    <row r="8" spans="1:8" x14ac:dyDescent="0.25">
      <c r="A8" t="s">
        <v>7</v>
      </c>
      <c r="B8">
        <v>-40.213794365600002</v>
      </c>
      <c r="C8">
        <v>-40.214420083100002</v>
      </c>
      <c r="D8">
        <v>-40.213169416699998</v>
      </c>
      <c r="E8">
        <v>-40.214420083100002</v>
      </c>
      <c r="F8">
        <v>-40.213169416699998</v>
      </c>
      <c r="G8">
        <v>-40.214420083100002</v>
      </c>
      <c r="H8">
        <v>-40.213169416699998</v>
      </c>
    </row>
    <row r="9" spans="1:8" x14ac:dyDescent="0.25">
      <c r="A9" t="s">
        <v>8</v>
      </c>
      <c r="B9">
        <v>-40.475420402399997</v>
      </c>
      <c r="C9">
        <v>-40.476044916799999</v>
      </c>
      <c r="D9">
        <v>-40.474796733600002</v>
      </c>
      <c r="E9">
        <v>-40.476044916799999</v>
      </c>
      <c r="F9">
        <v>-40.474796733600002</v>
      </c>
      <c r="G9">
        <v>-40.476044916799999</v>
      </c>
      <c r="H9">
        <v>-40.474796733600002</v>
      </c>
    </row>
    <row r="10" spans="1:8" x14ac:dyDescent="0.25">
      <c r="A10" t="s">
        <v>9</v>
      </c>
      <c r="B10">
        <v>-40.464719248500003</v>
      </c>
      <c r="C10">
        <v>-40.465351202000001</v>
      </c>
      <c r="D10">
        <v>-40.464088204399999</v>
      </c>
      <c r="E10">
        <v>-40.465351202000001</v>
      </c>
      <c r="F10">
        <v>-40.464088204399999</v>
      </c>
      <c r="G10">
        <v>-40.465351202000001</v>
      </c>
      <c r="H10">
        <v>-40.464088204399999</v>
      </c>
    </row>
    <row r="11" spans="1:8" x14ac:dyDescent="0.25">
      <c r="A11" t="s">
        <v>10</v>
      </c>
      <c r="B11">
        <v>-40.5024948792</v>
      </c>
      <c r="C11">
        <v>-40.503115864599998</v>
      </c>
      <c r="D11">
        <v>-40.501874709500001</v>
      </c>
      <c r="E11">
        <v>-40.503115864599998</v>
      </c>
      <c r="F11">
        <v>-40.501874709500001</v>
      </c>
      <c r="G11">
        <v>-40.503115864599998</v>
      </c>
      <c r="H11">
        <v>-40.501874709500001</v>
      </c>
    </row>
    <row r="12" spans="1:8" x14ac:dyDescent="0.25">
      <c r="A12" t="s">
        <v>11</v>
      </c>
      <c r="B12">
        <v>-40.506761081299999</v>
      </c>
      <c r="C12">
        <v>-40.5073844132</v>
      </c>
      <c r="D12">
        <v>-40.506138595000003</v>
      </c>
      <c r="E12">
        <v>-40.5073844132</v>
      </c>
      <c r="F12">
        <v>-40.506138595000003</v>
      </c>
      <c r="G12">
        <v>-40.5073844132</v>
      </c>
      <c r="H12">
        <v>-40.506138595000003</v>
      </c>
    </row>
    <row r="13" spans="1:8" x14ac:dyDescent="0.25">
      <c r="A13" t="s">
        <v>12</v>
      </c>
      <c r="B13">
        <v>-40.464719248500003</v>
      </c>
      <c r="C13">
        <v>-40.465351202000001</v>
      </c>
      <c r="D13">
        <v>-40.464088204399999</v>
      </c>
      <c r="E13">
        <v>-40.465351202000001</v>
      </c>
      <c r="F13">
        <v>-40.464088204399999</v>
      </c>
      <c r="G13">
        <v>-40.465351202000001</v>
      </c>
      <c r="H13">
        <v>-40.464088204399999</v>
      </c>
    </row>
    <row r="14" spans="1:8" x14ac:dyDescent="0.25">
      <c r="A14" t="s">
        <v>13</v>
      </c>
      <c r="B14">
        <v>-92.2363640369</v>
      </c>
      <c r="C14">
        <v>-92.237185303999993</v>
      </c>
      <c r="D14">
        <v>-92.235543244200002</v>
      </c>
      <c r="E14">
        <v>-92.237185303999993</v>
      </c>
      <c r="F14">
        <v>-92.235543244200002</v>
      </c>
      <c r="G14">
        <v>-92.236963365700007</v>
      </c>
      <c r="H14">
        <v>-92.235766602599995</v>
      </c>
    </row>
    <row r="15" spans="1:8" x14ac:dyDescent="0.25">
      <c r="A15" t="s">
        <v>14</v>
      </c>
      <c r="B15">
        <v>-92.632986065300003</v>
      </c>
      <c r="C15">
        <v>-92.633806541799999</v>
      </c>
      <c r="D15">
        <v>-92.6321660877</v>
      </c>
      <c r="E15">
        <v>-92.633806541799999</v>
      </c>
      <c r="F15">
        <v>-92.6321660877</v>
      </c>
      <c r="G15">
        <v>-92.633638631300002</v>
      </c>
      <c r="H15">
        <v>-92.632335948999994</v>
      </c>
    </row>
    <row r="16" spans="1:8" x14ac:dyDescent="0.25">
      <c r="A16" t="s">
        <v>15</v>
      </c>
      <c r="B16">
        <v>-92.643230188999993</v>
      </c>
      <c r="C16">
        <v>-92.644052323599993</v>
      </c>
      <c r="D16">
        <v>-92.642408587299997</v>
      </c>
      <c r="E16">
        <v>-92.644052323599993</v>
      </c>
      <c r="F16">
        <v>-92.642408587299997</v>
      </c>
      <c r="G16">
        <v>-92.643924664400004</v>
      </c>
      <c r="H16">
        <v>-92.642538330700006</v>
      </c>
    </row>
    <row r="17" spans="1:8" x14ac:dyDescent="0.25">
      <c r="A17" t="s">
        <v>16</v>
      </c>
      <c r="B17">
        <v>-92.684065503400006</v>
      </c>
      <c r="C17">
        <v>-92.684883396999993</v>
      </c>
      <c r="D17">
        <v>-92.683248089900005</v>
      </c>
      <c r="E17">
        <v>-92.684883396999993</v>
      </c>
      <c r="F17">
        <v>-92.683248089900005</v>
      </c>
      <c r="G17">
        <v>-92.684690849700004</v>
      </c>
      <c r="H17">
        <v>-92.683442420800006</v>
      </c>
    </row>
    <row r="18" spans="1:8" x14ac:dyDescent="0.25">
      <c r="A18" t="s">
        <v>17</v>
      </c>
      <c r="B18">
        <v>-92.708363816000002</v>
      </c>
      <c r="C18">
        <v>-92.709179664299995</v>
      </c>
      <c r="D18">
        <v>-92.707548458100007</v>
      </c>
      <c r="E18">
        <v>-92.709179664299995</v>
      </c>
      <c r="F18">
        <v>-92.707548458100007</v>
      </c>
      <c r="G18">
        <v>-92.709018732499999</v>
      </c>
      <c r="H18">
        <v>-92.707711331699997</v>
      </c>
    </row>
    <row r="19" spans="1:8" x14ac:dyDescent="0.25">
      <c r="A19" t="s">
        <v>18</v>
      </c>
      <c r="B19">
        <v>-92.643230188999993</v>
      </c>
      <c r="C19">
        <v>-92.644052323599993</v>
      </c>
      <c r="D19">
        <v>-92.642408587299997</v>
      </c>
      <c r="E19">
        <v>-92.644052323599993</v>
      </c>
      <c r="F19">
        <v>-92.642408587299997</v>
      </c>
      <c r="G19">
        <v>-92.643924664400004</v>
      </c>
      <c r="H19">
        <v>-92.642538330700006</v>
      </c>
    </row>
    <row r="20" spans="1:8" x14ac:dyDescent="0.25">
      <c r="A20" t="s">
        <v>19</v>
      </c>
      <c r="B20">
        <v>-187.7100083887</v>
      </c>
      <c r="C20">
        <v>-187.71111002839999</v>
      </c>
      <c r="D20">
        <v>-187.7089071099</v>
      </c>
      <c r="E20">
        <v>-187.71111002839999</v>
      </c>
      <c r="F20">
        <v>-187.7089071099</v>
      </c>
      <c r="G20">
        <v>-187.71149256429999</v>
      </c>
      <c r="H20">
        <v>-187.7085263111</v>
      </c>
    </row>
    <row r="21" spans="1:8" x14ac:dyDescent="0.25">
      <c r="A21" t="s">
        <v>20</v>
      </c>
      <c r="B21">
        <v>-188.46276846870001</v>
      </c>
      <c r="C21">
        <v>-188.4638697668</v>
      </c>
      <c r="D21">
        <v>-188.46166756829999</v>
      </c>
      <c r="E21">
        <v>-188.4638697668</v>
      </c>
      <c r="F21">
        <v>-188.46166756829999</v>
      </c>
      <c r="G21">
        <v>-188.4641946049</v>
      </c>
      <c r="H21">
        <v>-188.46134459449999</v>
      </c>
    </row>
    <row r="22" spans="1:8" x14ac:dyDescent="0.25">
      <c r="A22" t="s">
        <v>21</v>
      </c>
      <c r="B22">
        <v>-188.47704810179999</v>
      </c>
      <c r="C22">
        <v>-188.4781558869</v>
      </c>
      <c r="D22">
        <v>-188.47594074680001</v>
      </c>
      <c r="E22">
        <v>-188.4781558869</v>
      </c>
      <c r="F22">
        <v>-188.47594074680001</v>
      </c>
      <c r="G22">
        <v>-188.47846605429999</v>
      </c>
      <c r="H22">
        <v>-188.47563252719999</v>
      </c>
    </row>
    <row r="23" spans="1:8" x14ac:dyDescent="0.25">
      <c r="A23" t="s">
        <v>22</v>
      </c>
      <c r="B23">
        <v>-188.55732813309999</v>
      </c>
      <c r="C23">
        <v>-188.55842425860001</v>
      </c>
      <c r="D23">
        <v>-188.55623238839999</v>
      </c>
      <c r="E23">
        <v>-188.55842425860001</v>
      </c>
      <c r="F23">
        <v>-188.55623238839999</v>
      </c>
      <c r="G23">
        <v>-188.55875705259999</v>
      </c>
      <c r="H23">
        <v>-188.55590141339999</v>
      </c>
    </row>
    <row r="24" spans="1:8" x14ac:dyDescent="0.25">
      <c r="A24" t="s">
        <v>23</v>
      </c>
      <c r="B24">
        <v>-188.601268619</v>
      </c>
      <c r="C24">
        <v>-188.6023657065</v>
      </c>
      <c r="D24">
        <v>-188.60017192820001</v>
      </c>
      <c r="E24">
        <v>-188.6023657065</v>
      </c>
      <c r="F24">
        <v>-188.60017192820001</v>
      </c>
      <c r="G24">
        <v>-188.60268797130001</v>
      </c>
      <c r="H24">
        <v>-188.59985152569999</v>
      </c>
    </row>
    <row r="25" spans="1:8" x14ac:dyDescent="0.25">
      <c r="A25" t="s">
        <v>24</v>
      </c>
      <c r="B25">
        <v>-188.47704810179999</v>
      </c>
      <c r="C25">
        <v>-188.4781558869</v>
      </c>
      <c r="D25">
        <v>-188.47594074680001</v>
      </c>
      <c r="E25">
        <v>-188.4781558869</v>
      </c>
      <c r="F25">
        <v>-188.47594074680001</v>
      </c>
      <c r="G25">
        <v>-188.47846605429999</v>
      </c>
      <c r="H25">
        <v>-188.47563252719999</v>
      </c>
    </row>
    <row r="26" spans="1:8" x14ac:dyDescent="0.25">
      <c r="A26" t="s">
        <v>25</v>
      </c>
      <c r="B26">
        <v>-112.7820950226</v>
      </c>
      <c r="C26">
        <v>-112.7828550438</v>
      </c>
      <c r="D26">
        <v>-112.7813353805</v>
      </c>
      <c r="E26">
        <v>-112.7828550438</v>
      </c>
      <c r="F26">
        <v>-112.7813353805</v>
      </c>
      <c r="G26">
        <v>-112.783035162</v>
      </c>
      <c r="H26">
        <v>-112.7811562065</v>
      </c>
    </row>
    <row r="27" spans="1:8" x14ac:dyDescent="0.25">
      <c r="A27" t="s">
        <v>26</v>
      </c>
      <c r="B27">
        <v>-113.2379777509</v>
      </c>
    </row>
    <row r="28" spans="1:8" x14ac:dyDescent="0.25">
      <c r="A28" t="s">
        <v>28</v>
      </c>
      <c r="B28">
        <v>-113.24257244189999</v>
      </c>
    </row>
    <row r="29" spans="1:8" x14ac:dyDescent="0.25">
      <c r="A29" t="s">
        <v>29</v>
      </c>
      <c r="B29">
        <v>-113.29693683719999</v>
      </c>
    </row>
    <row r="30" spans="1:8" x14ac:dyDescent="0.25">
      <c r="A30" t="s">
        <v>30</v>
      </c>
      <c r="B30">
        <v>-113.32025955979999</v>
      </c>
    </row>
    <row r="31" spans="1:8" x14ac:dyDescent="0.25">
      <c r="A31" t="s">
        <v>31</v>
      </c>
      <c r="B31">
        <v>-112.47405535119999</v>
      </c>
    </row>
    <row r="32" spans="1:8" x14ac:dyDescent="0.25">
      <c r="A32" t="s">
        <v>32</v>
      </c>
      <c r="B32">
        <v>-76.0607979567</v>
      </c>
      <c r="C32">
        <v>-76.061360086199997</v>
      </c>
      <c r="D32">
        <v>-76.060236106700003</v>
      </c>
      <c r="E32">
        <v>-76.061113679100004</v>
      </c>
      <c r="F32">
        <v>-76.060482511000004</v>
      </c>
      <c r="G32">
        <v>-76.061262212100004</v>
      </c>
      <c r="H32">
        <v>-76.060333965500007</v>
      </c>
    </row>
    <row r="33" spans="1:8" x14ac:dyDescent="0.25">
      <c r="A33" t="s">
        <v>33</v>
      </c>
      <c r="B33">
        <v>-76.381047822900001</v>
      </c>
      <c r="C33">
        <v>-76.381622417700001</v>
      </c>
      <c r="D33">
        <v>-76.380473595300003</v>
      </c>
      <c r="E33">
        <v>-76.381376943800007</v>
      </c>
      <c r="F33">
        <v>-76.380719017199993</v>
      </c>
      <c r="G33">
        <v>-76.381524598499993</v>
      </c>
      <c r="H33">
        <v>-76.380571369099997</v>
      </c>
    </row>
    <row r="34" spans="1:8" x14ac:dyDescent="0.25">
      <c r="A34" t="s">
        <v>34</v>
      </c>
      <c r="B34">
        <v>-76.381691743999994</v>
      </c>
      <c r="C34">
        <v>-76.382276872399999</v>
      </c>
      <c r="D34">
        <v>-76.381107051100003</v>
      </c>
      <c r="E34">
        <v>-76.382031401399999</v>
      </c>
      <c r="F34">
        <v>-76.381352430099994</v>
      </c>
      <c r="G34">
        <v>-76.382178825099999</v>
      </c>
      <c r="H34">
        <v>-76.381205027099995</v>
      </c>
    </row>
    <row r="35" spans="1:8" x14ac:dyDescent="0.25">
      <c r="A35" t="s">
        <v>35</v>
      </c>
      <c r="B35">
        <v>-76.418712703200001</v>
      </c>
      <c r="C35">
        <v>-76.419281600900007</v>
      </c>
      <c r="D35">
        <v>-76.418144142900005</v>
      </c>
      <c r="E35">
        <v>-76.419035409299994</v>
      </c>
      <c r="F35">
        <v>-76.418390299600006</v>
      </c>
      <c r="G35">
        <v>-76.419184071900006</v>
      </c>
      <c r="H35">
        <v>-76.418241637899996</v>
      </c>
    </row>
    <row r="36" spans="1:8" x14ac:dyDescent="0.25">
      <c r="A36" t="s">
        <v>36</v>
      </c>
      <c r="B36">
        <v>-76.433622247499997</v>
      </c>
      <c r="C36">
        <v>-76.434196020100003</v>
      </c>
      <c r="D36">
        <v>-76.433048849299993</v>
      </c>
      <c r="E36">
        <v>-76.433950095599997</v>
      </c>
      <c r="F36">
        <v>-76.433294717300001</v>
      </c>
      <c r="G36">
        <v>-76.434098716799994</v>
      </c>
      <c r="H36">
        <v>-76.433146104900004</v>
      </c>
    </row>
    <row r="37" spans="1:8" x14ac:dyDescent="0.25">
      <c r="A37" t="s">
        <v>37</v>
      </c>
      <c r="B37">
        <v>-76.381691743999994</v>
      </c>
      <c r="C37">
        <v>-76.382276872399999</v>
      </c>
      <c r="D37">
        <v>-76.381107051100003</v>
      </c>
      <c r="E37">
        <v>-76.382031401399999</v>
      </c>
      <c r="F37">
        <v>-76.381352430099994</v>
      </c>
      <c r="G37">
        <v>-76.382178825099999</v>
      </c>
      <c r="H37">
        <v>-76.381205027099995</v>
      </c>
    </row>
    <row r="38" spans="1:8" x14ac:dyDescent="0.25">
      <c r="A38" t="s">
        <v>38</v>
      </c>
      <c r="B38">
        <v>-113.290716496</v>
      </c>
      <c r="C38">
        <v>-113.2915562375</v>
      </c>
      <c r="D38">
        <v>-113.2898778329</v>
      </c>
      <c r="E38">
        <v>-113.2917398269</v>
      </c>
      <c r="F38">
        <v>-113.28969453800001</v>
      </c>
      <c r="G38">
        <v>-113.2915330876</v>
      </c>
      <c r="H38">
        <v>-113.2899003103</v>
      </c>
    </row>
    <row r="39" spans="1:8" x14ac:dyDescent="0.25">
      <c r="A39" t="s">
        <v>39</v>
      </c>
      <c r="B39">
        <v>-113.76759546549999</v>
      </c>
      <c r="C39">
        <v>-113.7684291273</v>
      </c>
      <c r="D39">
        <v>-113.7667630828</v>
      </c>
      <c r="E39">
        <v>-113.7685935395</v>
      </c>
      <c r="F39">
        <v>-113.76659890419999</v>
      </c>
      <c r="G39">
        <v>-113.7684136404</v>
      </c>
      <c r="H39">
        <v>-113.76677774469999</v>
      </c>
    </row>
    <row r="40" spans="1:8" x14ac:dyDescent="0.25">
      <c r="A40" t="s">
        <v>40</v>
      </c>
      <c r="B40">
        <v>-113.7733934118</v>
      </c>
      <c r="C40">
        <v>-113.7742370701</v>
      </c>
      <c r="D40">
        <v>-113.77255122059999</v>
      </c>
      <c r="E40">
        <v>-113.7743921069</v>
      </c>
      <c r="F40">
        <v>-113.7723963593</v>
      </c>
      <c r="G40">
        <v>-113.774217804</v>
      </c>
      <c r="H40">
        <v>-113.7725695207</v>
      </c>
    </row>
    <row r="41" spans="1:8" x14ac:dyDescent="0.25">
      <c r="A41" t="s">
        <v>41</v>
      </c>
      <c r="B41">
        <v>-113.8284642262</v>
      </c>
      <c r="C41">
        <v>-113.8292942441</v>
      </c>
      <c r="D41">
        <v>-113.8276354157</v>
      </c>
      <c r="E41">
        <v>-113.8294607441</v>
      </c>
      <c r="F41">
        <v>-113.8274691566</v>
      </c>
      <c r="G41">
        <v>-113.829277881</v>
      </c>
      <c r="H41">
        <v>-113.8276509999</v>
      </c>
    </row>
    <row r="42" spans="1:8" x14ac:dyDescent="0.25">
      <c r="A42" t="s">
        <v>42</v>
      </c>
      <c r="B42">
        <v>-113.8539133684</v>
      </c>
      <c r="C42">
        <v>-113.85474721590001</v>
      </c>
      <c r="D42">
        <v>-113.8530808269</v>
      </c>
      <c r="E42">
        <v>-113.8549067811</v>
      </c>
      <c r="F42">
        <v>-113.8529214646</v>
      </c>
      <c r="G42">
        <v>-113.85472785899999</v>
      </c>
      <c r="H42">
        <v>-113.8530993259</v>
      </c>
    </row>
    <row r="43" spans="1:8" x14ac:dyDescent="0.25">
      <c r="A43" t="s">
        <v>43</v>
      </c>
      <c r="B43">
        <v>-113.7733934118</v>
      </c>
      <c r="C43">
        <v>-113.7742370701</v>
      </c>
      <c r="D43">
        <v>-113.77255122059999</v>
      </c>
      <c r="E43">
        <v>-113.7743921069</v>
      </c>
      <c r="F43">
        <v>-113.7723963593</v>
      </c>
      <c r="G43">
        <v>-113.774217804</v>
      </c>
      <c r="H43">
        <v>-113.7725695207</v>
      </c>
    </row>
    <row r="44" spans="1:8" x14ac:dyDescent="0.25">
      <c r="A44" t="s">
        <v>44</v>
      </c>
      <c r="B44">
        <v>-100.0612497364</v>
      </c>
      <c r="C44">
        <v>-100.06167329039999</v>
      </c>
      <c r="D44">
        <v>-100.0608262913</v>
      </c>
      <c r="E44">
        <v>-100.06167329039999</v>
      </c>
      <c r="F44">
        <v>-100.0608262913</v>
      </c>
      <c r="G44">
        <v>-100.06148668180001</v>
      </c>
      <c r="H44">
        <v>-100.0610129718</v>
      </c>
    </row>
    <row r="45" spans="1:8" x14ac:dyDescent="0.25">
      <c r="A45" t="s">
        <v>45</v>
      </c>
      <c r="B45">
        <v>-100.39201458479999</v>
      </c>
      <c r="C45">
        <v>-100.3924496268</v>
      </c>
      <c r="D45">
        <v>-100.39157968790001</v>
      </c>
      <c r="E45">
        <v>-100.3924496268</v>
      </c>
      <c r="F45">
        <v>-100.39157968790001</v>
      </c>
      <c r="G45">
        <v>-100.39226800039999</v>
      </c>
      <c r="H45">
        <v>-100.3917613829</v>
      </c>
    </row>
    <row r="46" spans="1:8" x14ac:dyDescent="0.25">
      <c r="A46" t="s">
        <v>46</v>
      </c>
      <c r="B46">
        <v>-100.39287564519999</v>
      </c>
      <c r="C46">
        <v>-100.393318859</v>
      </c>
      <c r="D46">
        <v>-100.39243260249999</v>
      </c>
      <c r="E46">
        <v>-100.393318859</v>
      </c>
      <c r="F46">
        <v>-100.39243260249999</v>
      </c>
      <c r="G46">
        <v>-100.3931393875</v>
      </c>
      <c r="H46">
        <v>-100.3926121395</v>
      </c>
    </row>
    <row r="47" spans="1:8" x14ac:dyDescent="0.25">
      <c r="A47" t="s">
        <v>47</v>
      </c>
      <c r="B47">
        <v>-100.44093352439999</v>
      </c>
      <c r="C47">
        <v>-100.4413637079</v>
      </c>
      <c r="D47">
        <v>-100.4405034734</v>
      </c>
      <c r="E47">
        <v>-100.4413637079</v>
      </c>
      <c r="F47">
        <v>-100.4405034734</v>
      </c>
      <c r="G47">
        <v>-100.44118064040001</v>
      </c>
      <c r="H47">
        <v>-100.4406866125</v>
      </c>
    </row>
    <row r="48" spans="1:8" x14ac:dyDescent="0.25">
      <c r="A48" t="s">
        <v>48</v>
      </c>
      <c r="B48">
        <v>-100.45840232010001</v>
      </c>
      <c r="C48">
        <v>-100.4588364768</v>
      </c>
      <c r="D48">
        <v>-100.4579683101</v>
      </c>
      <c r="E48">
        <v>-100.4588364768</v>
      </c>
      <c r="F48">
        <v>-100.4579683101</v>
      </c>
      <c r="G48">
        <v>-100.4586551272</v>
      </c>
      <c r="H48">
        <v>-100.4581497307</v>
      </c>
    </row>
    <row r="49" spans="1:8" x14ac:dyDescent="0.25">
      <c r="A49" t="s">
        <v>49</v>
      </c>
      <c r="B49">
        <v>-100.39287564519999</v>
      </c>
      <c r="C49">
        <v>-100.393318859</v>
      </c>
      <c r="D49">
        <v>-100.39243260249999</v>
      </c>
      <c r="E49">
        <v>-100.393318859</v>
      </c>
      <c r="F49">
        <v>-100.39243260249999</v>
      </c>
      <c r="G49">
        <v>-100.3931393875</v>
      </c>
      <c r="H49">
        <v>-100.3926121395</v>
      </c>
    </row>
    <row r="50" spans="1:8" x14ac:dyDescent="0.25">
      <c r="A50" t="s">
        <v>50</v>
      </c>
      <c r="B50">
        <v>-150.24000717850001</v>
      </c>
      <c r="C50">
        <v>-150.2407322796</v>
      </c>
      <c r="D50">
        <v>-150.2392824479</v>
      </c>
      <c r="E50">
        <v>-150.24082057710001</v>
      </c>
      <c r="F50">
        <v>-150.2391945439</v>
      </c>
      <c r="G50">
        <v>-150.2408199512</v>
      </c>
      <c r="H50">
        <v>-150.2391946683</v>
      </c>
    </row>
    <row r="51" spans="1:8" x14ac:dyDescent="0.25">
      <c r="A51" t="s">
        <v>51</v>
      </c>
      <c r="B51">
        <v>-150.81573135420001</v>
      </c>
      <c r="C51">
        <v>-150.81647480909999</v>
      </c>
      <c r="D51">
        <v>-150.81498835869999</v>
      </c>
      <c r="E51">
        <v>-150.8165492983</v>
      </c>
      <c r="F51">
        <v>-150.8149142753</v>
      </c>
      <c r="G51">
        <v>-150.81655565439999</v>
      </c>
      <c r="H51">
        <v>-150.81490736180001</v>
      </c>
    </row>
    <row r="52" spans="1:8" x14ac:dyDescent="0.25">
      <c r="A52" t="s">
        <v>52</v>
      </c>
      <c r="B52">
        <v>-150.8290233784</v>
      </c>
      <c r="C52">
        <v>-150.82978261720001</v>
      </c>
      <c r="D52">
        <v>-150.828264674</v>
      </c>
      <c r="E52">
        <v>-150.82985379799999</v>
      </c>
      <c r="F52">
        <v>-150.8281939032</v>
      </c>
      <c r="G52">
        <v>-150.82985586219999</v>
      </c>
      <c r="H52">
        <v>-150.8281912379</v>
      </c>
    </row>
    <row r="53" spans="1:8" x14ac:dyDescent="0.25">
      <c r="A53" t="s">
        <v>53</v>
      </c>
      <c r="B53">
        <v>-150.8885021465</v>
      </c>
      <c r="C53">
        <v>-150.88923754320001</v>
      </c>
      <c r="D53">
        <v>-150.88776717920001</v>
      </c>
      <c r="E53">
        <v>-150.88931184969999</v>
      </c>
      <c r="F53">
        <v>-150.88769327080001</v>
      </c>
      <c r="G53">
        <v>-150.88932019969999</v>
      </c>
      <c r="H53">
        <v>-150.88768438150001</v>
      </c>
    </row>
    <row r="54" spans="1:8" x14ac:dyDescent="0.25">
      <c r="A54" t="s">
        <v>54</v>
      </c>
      <c r="B54">
        <v>-150.92379418420001</v>
      </c>
      <c r="C54">
        <v>-150.92453791209999</v>
      </c>
      <c r="D54">
        <v>-150.92305092589999</v>
      </c>
      <c r="E54">
        <v>-150.92460841959999</v>
      </c>
      <c r="F54">
        <v>-150.92298081530001</v>
      </c>
      <c r="G54">
        <v>-150.92461500490001</v>
      </c>
      <c r="H54">
        <v>-150.92297366790001</v>
      </c>
    </row>
    <row r="55" spans="1:8" x14ac:dyDescent="0.25">
      <c r="A55" t="s">
        <v>55</v>
      </c>
      <c r="B55">
        <v>-150.8290233784</v>
      </c>
      <c r="C55">
        <v>-150.82978261720001</v>
      </c>
      <c r="D55">
        <v>-150.828264674</v>
      </c>
      <c r="E55">
        <v>-150.82985379799999</v>
      </c>
      <c r="F55">
        <v>-150.8281939032</v>
      </c>
      <c r="G55">
        <v>-150.82985586219999</v>
      </c>
      <c r="H55">
        <v>-150.8281912379</v>
      </c>
    </row>
    <row r="56" spans="1:8" x14ac:dyDescent="0.25">
      <c r="A56" t="s">
        <v>56</v>
      </c>
      <c r="B56">
        <v>-108.98569913110001</v>
      </c>
      <c r="C56">
        <v>-108.98647253990001</v>
      </c>
      <c r="D56">
        <v>-108.98492604410001</v>
      </c>
      <c r="E56">
        <v>-108.98647253990001</v>
      </c>
      <c r="F56">
        <v>-108.98492604410001</v>
      </c>
      <c r="G56">
        <v>-108.9865648418</v>
      </c>
      <c r="H56">
        <v>-108.9848341837</v>
      </c>
    </row>
    <row r="57" spans="1:8" x14ac:dyDescent="0.25">
      <c r="A57" t="s">
        <v>57</v>
      </c>
      <c r="B57">
        <v>-109.4453389082</v>
      </c>
      <c r="C57">
        <v>-109.4461036825</v>
      </c>
      <c r="D57">
        <v>-109.4445744785</v>
      </c>
      <c r="E57">
        <v>-109.4461036825</v>
      </c>
      <c r="F57">
        <v>-109.4445744785</v>
      </c>
      <c r="G57">
        <v>-109.446210706</v>
      </c>
      <c r="H57">
        <v>-109.4444679729</v>
      </c>
    </row>
    <row r="58" spans="1:8" x14ac:dyDescent="0.25">
      <c r="A58" t="s">
        <v>58</v>
      </c>
      <c r="B58">
        <v>-109.4524995749</v>
      </c>
      <c r="C58">
        <v>-109.4532670116</v>
      </c>
      <c r="D58">
        <v>-109.451732509</v>
      </c>
      <c r="E58">
        <v>-109.4532670116</v>
      </c>
      <c r="F58">
        <v>-109.451732509</v>
      </c>
      <c r="G58">
        <v>-109.4533810682</v>
      </c>
      <c r="H58">
        <v>-109.4516190178</v>
      </c>
    </row>
    <row r="59" spans="1:8" x14ac:dyDescent="0.25">
      <c r="A59" t="s">
        <v>59</v>
      </c>
      <c r="B59">
        <v>-109.4994664987</v>
      </c>
      <c r="C59">
        <v>-109.5002285624</v>
      </c>
      <c r="D59">
        <v>-109.49870476460001</v>
      </c>
      <c r="E59">
        <v>-109.5002285624</v>
      </c>
      <c r="F59">
        <v>-109.49870476460001</v>
      </c>
      <c r="G59">
        <v>-109.5003335512</v>
      </c>
      <c r="H59">
        <v>-109.4986002734</v>
      </c>
    </row>
    <row r="60" spans="1:8" x14ac:dyDescent="0.25">
      <c r="A60" t="s">
        <v>60</v>
      </c>
      <c r="B60">
        <v>-109.5242270626</v>
      </c>
      <c r="C60">
        <v>-109.52498750949999</v>
      </c>
      <c r="D60">
        <v>-109.5234669554</v>
      </c>
      <c r="E60">
        <v>-109.52498750949999</v>
      </c>
      <c r="F60">
        <v>-109.5234669554</v>
      </c>
      <c r="G60">
        <v>-109.5250997725</v>
      </c>
      <c r="H60">
        <v>-109.52335521880001</v>
      </c>
    </row>
    <row r="61" spans="1:8" x14ac:dyDescent="0.25">
      <c r="A61" t="s">
        <v>61</v>
      </c>
      <c r="B61">
        <v>-109.4524995749</v>
      </c>
      <c r="C61">
        <v>-109.4532670116</v>
      </c>
      <c r="D61">
        <v>-109.451732509</v>
      </c>
      <c r="E61">
        <v>-109.4532670116</v>
      </c>
      <c r="F61">
        <v>-109.451732509</v>
      </c>
      <c r="G61">
        <v>-109.4533810682</v>
      </c>
      <c r="H61">
        <v>-109.4516190178</v>
      </c>
    </row>
    <row r="62" spans="1:8" x14ac:dyDescent="0.25">
      <c r="A62" t="s">
        <v>62</v>
      </c>
      <c r="B62">
        <v>-75.421831584700001</v>
      </c>
      <c r="C62">
        <v>-75.4223318409</v>
      </c>
      <c r="D62">
        <v>-75.421331554700004</v>
      </c>
      <c r="E62">
        <v>-75.422234260500005</v>
      </c>
      <c r="F62">
        <v>-75.421429021400002</v>
      </c>
      <c r="G62">
        <v>-75.422394612000005</v>
      </c>
      <c r="H62">
        <v>-75.4212693952</v>
      </c>
    </row>
    <row r="63" spans="1:8" x14ac:dyDescent="0.25">
      <c r="A63" t="s">
        <v>63</v>
      </c>
      <c r="B63">
        <v>-75.686609016199995</v>
      </c>
      <c r="C63">
        <v>-75.687021398499994</v>
      </c>
      <c r="D63">
        <v>-75.686196776100005</v>
      </c>
      <c r="E63">
        <v>-75.687120406299996</v>
      </c>
      <c r="F63">
        <v>-75.686097922499997</v>
      </c>
      <c r="G63">
        <v>-75.687169855199997</v>
      </c>
      <c r="H63">
        <v>-75.686049104299997</v>
      </c>
    </row>
    <row r="64" spans="1:8" x14ac:dyDescent="0.25">
      <c r="A64" t="s">
        <v>64</v>
      </c>
      <c r="B64">
        <v>-75.683903898599993</v>
      </c>
      <c r="C64">
        <v>-75.6843233293</v>
      </c>
      <c r="D64">
        <v>-75.683484631599995</v>
      </c>
      <c r="E64">
        <v>-75.684424793900007</v>
      </c>
      <c r="F64">
        <v>-75.683383355900006</v>
      </c>
      <c r="G64">
        <v>-75.684467296700007</v>
      </c>
      <c r="H64">
        <v>-75.683341486200007</v>
      </c>
    </row>
    <row r="65" spans="1:8" x14ac:dyDescent="0.25">
      <c r="A65" t="s">
        <v>65</v>
      </c>
      <c r="B65">
        <v>-75.729840933899993</v>
      </c>
      <c r="C65">
        <v>-75.730248240999998</v>
      </c>
      <c r="D65">
        <v>-75.729433756999995</v>
      </c>
      <c r="E65">
        <v>-75.730346885599999</v>
      </c>
      <c r="F65">
        <v>-75.729335252799999</v>
      </c>
      <c r="G65">
        <v>-75.730400224099995</v>
      </c>
      <c r="H65">
        <v>-75.729282544300005</v>
      </c>
    </row>
    <row r="66" spans="1:8" x14ac:dyDescent="0.25">
      <c r="A66" t="s">
        <v>66</v>
      </c>
      <c r="B66">
        <v>-75.741595789000002</v>
      </c>
      <c r="C66">
        <v>-75.742005871900005</v>
      </c>
      <c r="D66">
        <v>-75.741185846700006</v>
      </c>
      <c r="E66">
        <v>-75.742106236599994</v>
      </c>
      <c r="F66">
        <v>-75.741085641400005</v>
      </c>
      <c r="G66">
        <v>-75.742155179500003</v>
      </c>
      <c r="H66">
        <v>-75.741037331900003</v>
      </c>
    </row>
    <row r="67" spans="1:8" x14ac:dyDescent="0.25">
      <c r="A67" t="s">
        <v>67</v>
      </c>
      <c r="B67">
        <v>-75.683903898599993</v>
      </c>
      <c r="C67">
        <v>-75.6843233293</v>
      </c>
      <c r="D67">
        <v>-75.683484631599995</v>
      </c>
      <c r="E67">
        <v>-75.684424793900007</v>
      </c>
      <c r="F67">
        <v>-75.683383355900006</v>
      </c>
      <c r="G67">
        <v>-75.684467296700007</v>
      </c>
      <c r="H67">
        <v>-75.683341486200007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BD99-27AC-47DB-BAD2-2CA1FFAC883F}">
  <dimension ref="A1:E17"/>
  <sheetViews>
    <sheetView workbookViewId="0">
      <selection activeCell="E2" sqref="E2"/>
    </sheetView>
  </sheetViews>
  <sheetFormatPr defaultRowHeight="15" x14ac:dyDescent="0.25"/>
  <cols>
    <col min="1" max="5" width="11.140625" bestFit="1" customWidth="1"/>
  </cols>
  <sheetData>
    <row r="1" spans="1:5" x14ac:dyDescent="0.25">
      <c r="A1" t="s">
        <v>181</v>
      </c>
      <c r="B1" t="s">
        <v>80</v>
      </c>
      <c r="C1" t="s">
        <v>77</v>
      </c>
      <c r="D1" t="s">
        <v>78</v>
      </c>
      <c r="E1" t="s">
        <v>146</v>
      </c>
    </row>
    <row r="2" spans="1:5" x14ac:dyDescent="0.25">
      <c r="A2" s="7" t="s">
        <v>200</v>
      </c>
      <c r="B2">
        <v>0</v>
      </c>
      <c r="C2">
        <v>0</v>
      </c>
      <c r="D2">
        <v>1.9215</v>
      </c>
      <c r="E2">
        <v>1.9215</v>
      </c>
    </row>
    <row r="3" spans="1:5" x14ac:dyDescent="0.25">
      <c r="A3" s="7" t="s">
        <v>201</v>
      </c>
      <c r="B3">
        <v>0</v>
      </c>
      <c r="C3">
        <v>0</v>
      </c>
      <c r="D3">
        <v>1.9315</v>
      </c>
      <c r="E3">
        <v>1.9315</v>
      </c>
    </row>
    <row r="4" spans="1:5" x14ac:dyDescent="0.25">
      <c r="A4" s="7" t="s">
        <v>202</v>
      </c>
      <c r="B4">
        <v>0</v>
      </c>
      <c r="C4">
        <v>0</v>
      </c>
      <c r="D4">
        <v>1.9218999999999999</v>
      </c>
      <c r="E4">
        <v>1.9218999999999999</v>
      </c>
    </row>
    <row r="5" spans="1:5" x14ac:dyDescent="0.25">
      <c r="A5" s="7" t="s">
        <v>203</v>
      </c>
      <c r="B5">
        <v>0</v>
      </c>
      <c r="C5">
        <v>0</v>
      </c>
      <c r="D5">
        <v>1.9247000000000001</v>
      </c>
      <c r="E5">
        <v>1.9247000000000001</v>
      </c>
    </row>
    <row r="6" spans="1:5" x14ac:dyDescent="0.25">
      <c r="A6" s="7" t="s">
        <v>204</v>
      </c>
      <c r="B6">
        <v>0</v>
      </c>
      <c r="C6">
        <v>0</v>
      </c>
      <c r="D6">
        <v>1.6329</v>
      </c>
      <c r="E6">
        <v>1.6329</v>
      </c>
    </row>
    <row r="7" spans="1:5" x14ac:dyDescent="0.25">
      <c r="A7" s="7" t="s">
        <v>205</v>
      </c>
      <c r="B7">
        <v>0</v>
      </c>
      <c r="C7">
        <v>0</v>
      </c>
      <c r="D7">
        <v>1.6420999999999999</v>
      </c>
      <c r="E7">
        <v>1.6420999999999999</v>
      </c>
    </row>
    <row r="8" spans="1:5" x14ac:dyDescent="0.25">
      <c r="A8" s="7" t="s">
        <v>206</v>
      </c>
      <c r="B8">
        <v>0</v>
      </c>
      <c r="C8">
        <v>0</v>
      </c>
      <c r="D8">
        <v>1.6326000000000001</v>
      </c>
      <c r="E8">
        <v>1.6326000000000001</v>
      </c>
    </row>
    <row r="9" spans="1:5" x14ac:dyDescent="0.25">
      <c r="A9" s="7" t="s">
        <v>207</v>
      </c>
      <c r="B9">
        <v>0</v>
      </c>
      <c r="C9">
        <v>0</v>
      </c>
      <c r="D9">
        <v>1.6339999999999999</v>
      </c>
      <c r="E9">
        <v>1.6339999999999999</v>
      </c>
    </row>
    <row r="10" spans="1:5" x14ac:dyDescent="0.25">
      <c r="A10" s="7" t="s">
        <v>208</v>
      </c>
      <c r="B10">
        <v>0</v>
      </c>
      <c r="C10">
        <v>0</v>
      </c>
      <c r="D10">
        <v>-1.7572000000000001</v>
      </c>
      <c r="E10">
        <v>1.7572000000000001</v>
      </c>
    </row>
    <row r="11" spans="1:5" x14ac:dyDescent="0.25">
      <c r="A11" s="7" t="s">
        <v>209</v>
      </c>
      <c r="B11">
        <v>0</v>
      </c>
      <c r="C11">
        <v>0</v>
      </c>
      <c r="D11">
        <v>-1.7714000000000001</v>
      </c>
      <c r="E11">
        <v>1.7714000000000001</v>
      </c>
    </row>
    <row r="12" spans="1:5" x14ac:dyDescent="0.25">
      <c r="A12" s="7" t="s">
        <v>210</v>
      </c>
      <c r="B12">
        <v>0</v>
      </c>
      <c r="C12">
        <v>0</v>
      </c>
      <c r="D12">
        <v>-1.7574000000000001</v>
      </c>
      <c r="E12">
        <v>1.7574000000000001</v>
      </c>
    </row>
    <row r="13" spans="1:5" x14ac:dyDescent="0.25">
      <c r="A13" s="7" t="s">
        <v>211</v>
      </c>
      <c r="B13">
        <v>0</v>
      </c>
      <c r="C13">
        <v>0</v>
      </c>
      <c r="D13">
        <v>-1.7598</v>
      </c>
      <c r="E13">
        <v>1.7598</v>
      </c>
    </row>
    <row r="14" spans="1:5" x14ac:dyDescent="0.25">
      <c r="A14" s="7" t="s">
        <v>212</v>
      </c>
      <c r="B14">
        <v>0</v>
      </c>
      <c r="C14">
        <v>0</v>
      </c>
      <c r="D14">
        <v>-0.51290000000000002</v>
      </c>
      <c r="E14">
        <v>0.51290000000000002</v>
      </c>
    </row>
    <row r="15" spans="1:5" x14ac:dyDescent="0.25">
      <c r="A15" s="7" t="s">
        <v>213</v>
      </c>
      <c r="B15">
        <v>0</v>
      </c>
      <c r="C15">
        <v>0</v>
      </c>
      <c r="D15">
        <v>-0.55110000000000003</v>
      </c>
      <c r="E15">
        <v>0.55110000000000003</v>
      </c>
    </row>
    <row r="16" spans="1:5" x14ac:dyDescent="0.25">
      <c r="A16" s="7" t="s">
        <v>214</v>
      </c>
      <c r="B16">
        <v>0</v>
      </c>
      <c r="C16">
        <v>0</v>
      </c>
      <c r="D16">
        <v>-0.51300000000000001</v>
      </c>
      <c r="E16">
        <v>0.51300000000000001</v>
      </c>
    </row>
    <row r="17" spans="1:5" x14ac:dyDescent="0.25">
      <c r="A17" s="7" t="s">
        <v>215</v>
      </c>
      <c r="B17">
        <v>0</v>
      </c>
      <c r="C17">
        <v>0</v>
      </c>
      <c r="D17">
        <v>-0.51890000000000003</v>
      </c>
      <c r="E17">
        <v>0.51890000000000003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4100-88D8-4AF4-AFEA-5E37FFBD3E5E}">
  <dimension ref="A1:G17"/>
  <sheetViews>
    <sheetView workbookViewId="0">
      <selection activeCell="G31" sqref="G31"/>
    </sheetView>
  </sheetViews>
  <sheetFormatPr defaultRowHeight="15" x14ac:dyDescent="0.25"/>
  <cols>
    <col min="1" max="7" width="11.140625" bestFit="1" customWidth="1"/>
  </cols>
  <sheetData>
    <row r="1" spans="1:7" x14ac:dyDescent="0.25">
      <c r="A1" t="s">
        <v>181</v>
      </c>
      <c r="B1" t="s">
        <v>69</v>
      </c>
      <c r="C1" t="s">
        <v>75</v>
      </c>
      <c r="D1" t="s">
        <v>71</v>
      </c>
      <c r="E1" t="s">
        <v>76</v>
      </c>
      <c r="F1" t="s">
        <v>216</v>
      </c>
      <c r="G1" t="s">
        <v>73</v>
      </c>
    </row>
    <row r="2" spans="1:7" x14ac:dyDescent="0.25">
      <c r="A2" s="7" t="s">
        <v>200</v>
      </c>
      <c r="B2">
        <v>-5.6852</v>
      </c>
      <c r="C2">
        <v>0</v>
      </c>
      <c r="D2">
        <v>-5.6852</v>
      </c>
      <c r="E2">
        <v>0</v>
      </c>
      <c r="F2">
        <v>0</v>
      </c>
      <c r="G2">
        <v>-3.1779000000000002</v>
      </c>
    </row>
    <row r="3" spans="1:7" x14ac:dyDescent="0.25">
      <c r="A3" s="7" t="s">
        <v>201</v>
      </c>
      <c r="B3">
        <v>-5.7233000000000001</v>
      </c>
      <c r="C3">
        <v>0</v>
      </c>
      <c r="D3">
        <v>-5.7233000000000001</v>
      </c>
      <c r="E3">
        <v>0</v>
      </c>
      <c r="F3">
        <v>0</v>
      </c>
      <c r="G3">
        <v>-3.2118000000000002</v>
      </c>
    </row>
    <row r="4" spans="1:7" x14ac:dyDescent="0.25">
      <c r="A4" s="7" t="s">
        <v>202</v>
      </c>
      <c r="B4">
        <v>-5.6897000000000002</v>
      </c>
      <c r="C4">
        <v>0</v>
      </c>
      <c r="D4">
        <v>-5.6897000000000002</v>
      </c>
      <c r="E4">
        <v>0</v>
      </c>
      <c r="F4">
        <v>0</v>
      </c>
      <c r="G4">
        <v>-3.1793</v>
      </c>
    </row>
    <row r="5" spans="1:7" x14ac:dyDescent="0.25">
      <c r="A5" s="7" t="s">
        <v>203</v>
      </c>
      <c r="B5">
        <v>-5.6962000000000002</v>
      </c>
      <c r="C5">
        <v>0</v>
      </c>
      <c r="D5">
        <v>-5.6962000000000002</v>
      </c>
      <c r="E5">
        <v>0</v>
      </c>
      <c r="F5">
        <v>0</v>
      </c>
      <c r="G5">
        <v>-3.1858</v>
      </c>
    </row>
    <row r="6" spans="1:7" x14ac:dyDescent="0.25">
      <c r="A6" s="7" t="s">
        <v>204</v>
      </c>
      <c r="B6">
        <v>-6.2690000000000001</v>
      </c>
      <c r="C6">
        <v>0</v>
      </c>
      <c r="D6">
        <v>-6.2690000000000001</v>
      </c>
      <c r="E6">
        <v>0</v>
      </c>
      <c r="F6">
        <v>0</v>
      </c>
      <c r="G6">
        <v>-5.4577999999999998</v>
      </c>
    </row>
    <row r="7" spans="1:7" x14ac:dyDescent="0.25">
      <c r="A7" s="7" t="s">
        <v>205</v>
      </c>
      <c r="B7">
        <v>-6.2876000000000003</v>
      </c>
      <c r="C7">
        <v>0</v>
      </c>
      <c r="D7">
        <v>-6.2876000000000003</v>
      </c>
      <c r="E7">
        <v>0</v>
      </c>
      <c r="F7">
        <v>0</v>
      </c>
      <c r="G7">
        <v>-5.5205000000000002</v>
      </c>
    </row>
    <row r="8" spans="1:7" x14ac:dyDescent="0.25">
      <c r="A8" s="7" t="s">
        <v>206</v>
      </c>
      <c r="B8">
        <v>-6.2725</v>
      </c>
      <c r="C8">
        <v>0</v>
      </c>
      <c r="D8">
        <v>-6.2725</v>
      </c>
      <c r="E8">
        <v>0</v>
      </c>
      <c r="F8">
        <v>0</v>
      </c>
      <c r="G8">
        <v>-5.4585999999999997</v>
      </c>
    </row>
    <row r="9" spans="1:7" x14ac:dyDescent="0.25">
      <c r="A9" s="7" t="s">
        <v>207</v>
      </c>
      <c r="B9">
        <v>-6.2786999999999997</v>
      </c>
      <c r="C9">
        <v>0</v>
      </c>
      <c r="D9">
        <v>-6.2786999999999997</v>
      </c>
      <c r="E9">
        <v>0</v>
      </c>
      <c r="F9">
        <v>0</v>
      </c>
      <c r="G9">
        <v>-5.4640000000000004</v>
      </c>
    </row>
    <row r="10" spans="1:7" x14ac:dyDescent="0.25">
      <c r="A10" s="7" t="s">
        <v>208</v>
      </c>
      <c r="B10">
        <v>-5.4101999999999997</v>
      </c>
      <c r="C10">
        <v>-2.3999999999999998E-3</v>
      </c>
      <c r="D10">
        <v>-6.7119</v>
      </c>
      <c r="E10">
        <v>0</v>
      </c>
      <c r="F10">
        <v>0</v>
      </c>
      <c r="G10">
        <v>-7.5533000000000001</v>
      </c>
    </row>
    <row r="11" spans="1:7" x14ac:dyDescent="0.25">
      <c r="A11" s="7" t="s">
        <v>209</v>
      </c>
      <c r="B11">
        <v>-5.4024000000000001</v>
      </c>
      <c r="C11">
        <v>0</v>
      </c>
      <c r="D11">
        <v>-6.78</v>
      </c>
      <c r="E11">
        <v>0</v>
      </c>
      <c r="F11">
        <v>0</v>
      </c>
      <c r="G11">
        <v>-7.6334999999999997</v>
      </c>
    </row>
    <row r="12" spans="1:7" x14ac:dyDescent="0.25">
      <c r="A12" s="7" t="s">
        <v>210</v>
      </c>
      <c r="B12">
        <v>-5.4127000000000001</v>
      </c>
      <c r="C12">
        <v>-1E-4</v>
      </c>
      <c r="D12">
        <v>-6.7167000000000003</v>
      </c>
      <c r="E12">
        <v>0</v>
      </c>
      <c r="F12">
        <v>0</v>
      </c>
      <c r="G12">
        <v>-7.5559000000000003</v>
      </c>
    </row>
    <row r="13" spans="1:7" x14ac:dyDescent="0.25">
      <c r="A13" s="7" t="s">
        <v>211</v>
      </c>
      <c r="B13">
        <v>-5.4154</v>
      </c>
      <c r="C13">
        <v>9.7999999999999997E-3</v>
      </c>
      <c r="D13">
        <v>-6.7270000000000003</v>
      </c>
      <c r="E13">
        <v>0</v>
      </c>
      <c r="F13">
        <v>0</v>
      </c>
      <c r="G13">
        <v>-7.5673000000000004</v>
      </c>
    </row>
    <row r="14" spans="1:7" x14ac:dyDescent="0.25">
      <c r="A14" s="7" t="s">
        <v>212</v>
      </c>
      <c r="B14">
        <v>-14.4015</v>
      </c>
      <c r="C14">
        <v>0</v>
      </c>
      <c r="D14">
        <v>-14.4015</v>
      </c>
      <c r="E14">
        <v>0</v>
      </c>
      <c r="F14">
        <v>0</v>
      </c>
      <c r="G14">
        <v>-15.4878</v>
      </c>
    </row>
    <row r="15" spans="1:7" x14ac:dyDescent="0.25">
      <c r="A15" s="7" t="s">
        <v>213</v>
      </c>
      <c r="B15">
        <v>-14.457100000000001</v>
      </c>
      <c r="C15">
        <v>0</v>
      </c>
      <c r="D15">
        <v>-14.457100000000001</v>
      </c>
      <c r="E15">
        <v>0</v>
      </c>
      <c r="F15">
        <v>0</v>
      </c>
      <c r="G15">
        <v>-15.6531</v>
      </c>
    </row>
    <row r="16" spans="1:7" x14ac:dyDescent="0.25">
      <c r="A16" s="7" t="s">
        <v>214</v>
      </c>
      <c r="B16">
        <v>-14.4047</v>
      </c>
      <c r="C16">
        <v>0</v>
      </c>
      <c r="D16">
        <v>-14.4047</v>
      </c>
      <c r="E16">
        <v>0</v>
      </c>
      <c r="F16">
        <v>0</v>
      </c>
      <c r="G16">
        <v>-15.489100000000001</v>
      </c>
    </row>
    <row r="17" spans="1:7" x14ac:dyDescent="0.25">
      <c r="A17" s="7" t="s">
        <v>215</v>
      </c>
      <c r="B17">
        <v>-14.4267</v>
      </c>
      <c r="C17">
        <v>0</v>
      </c>
      <c r="D17">
        <v>-14.4267</v>
      </c>
      <c r="E17">
        <v>0</v>
      </c>
      <c r="F17">
        <v>0</v>
      </c>
      <c r="G17">
        <v>-15.5055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0B2F-CCD2-49AF-8A7F-8016136C49F0}">
  <dimension ref="A1:L56"/>
  <sheetViews>
    <sheetView workbookViewId="0">
      <selection activeCell="K19" sqref="K19"/>
    </sheetView>
  </sheetViews>
  <sheetFormatPr defaultRowHeight="15" x14ac:dyDescent="0.25"/>
  <cols>
    <col min="1" max="1" width="12.42578125" bestFit="1" customWidth="1"/>
    <col min="2" max="8" width="12.7109375" bestFit="1" customWidth="1"/>
    <col min="12" max="12" width="17.5703125" bestFit="1" customWidth="1"/>
  </cols>
  <sheetData>
    <row r="1" spans="1:12" x14ac:dyDescent="0.25">
      <c r="A1" t="s">
        <v>190</v>
      </c>
    </row>
    <row r="2" spans="1:12" x14ac:dyDescent="0.25">
      <c r="A2" t="s">
        <v>161</v>
      </c>
      <c r="B2" t="s">
        <v>68</v>
      </c>
      <c r="C2" t="s">
        <v>69</v>
      </c>
      <c r="D2" s="1" t="s">
        <v>70</v>
      </c>
      <c r="E2" t="s">
        <v>73</v>
      </c>
      <c r="F2" s="1" t="s">
        <v>74</v>
      </c>
      <c r="G2" t="s">
        <v>78</v>
      </c>
      <c r="H2" s="1" t="s">
        <v>178</v>
      </c>
      <c r="L2" t="s">
        <v>180</v>
      </c>
    </row>
    <row r="3" spans="1:12" x14ac:dyDescent="0.25">
      <c r="A3" s="7" t="s">
        <v>162</v>
      </c>
      <c r="B3">
        <v>-100.45182396</v>
      </c>
      <c r="C3">
        <v>-100.45225684</v>
      </c>
      <c r="D3">
        <v>-100.45139123</v>
      </c>
      <c r="E3">
        <v>-100.45207324</v>
      </c>
      <c r="F3">
        <v>-100.45157489</v>
      </c>
      <c r="G3">
        <v>-100.45175306</v>
      </c>
      <c r="H3">
        <v>-100.45189492999999</v>
      </c>
      <c r="L3">
        <v>1.345033669</v>
      </c>
    </row>
    <row r="4" spans="1:12" x14ac:dyDescent="0.25">
      <c r="A4" s="7" t="s">
        <v>163</v>
      </c>
      <c r="B4">
        <v>-100.30598028</v>
      </c>
      <c r="C4">
        <v>-100.26773426</v>
      </c>
      <c r="D4">
        <v>-100.26685424999999</v>
      </c>
      <c r="E4">
        <v>-100.26755233</v>
      </c>
      <c r="F4">
        <v>-100.26703626</v>
      </c>
      <c r="G4">
        <v>-100.26722388</v>
      </c>
      <c r="H4">
        <v>-100.26736458000001</v>
      </c>
    </row>
    <row r="5" spans="1:12" x14ac:dyDescent="0.25">
      <c r="A5" s="7" t="s">
        <v>164</v>
      </c>
      <c r="B5">
        <v>-100.44204975</v>
      </c>
      <c r="C5">
        <v>-100.44248337000001</v>
      </c>
      <c r="D5">
        <v>-100.44161627</v>
      </c>
      <c r="E5">
        <v>-100.44229970000001</v>
      </c>
      <c r="F5">
        <v>-100.44180000999999</v>
      </c>
      <c r="G5">
        <v>-100.44197894</v>
      </c>
      <c r="H5">
        <v>-100.44212062</v>
      </c>
      <c r="L5" t="s">
        <v>159</v>
      </c>
    </row>
    <row r="6" spans="1:12" x14ac:dyDescent="0.25">
      <c r="A6" s="7" t="s">
        <v>165</v>
      </c>
      <c r="B6">
        <v>-100.41083264</v>
      </c>
      <c r="C6">
        <v>-100.41126786</v>
      </c>
      <c r="D6">
        <v>-100.41039756000001</v>
      </c>
      <c r="E6">
        <v>-100.41108481000001</v>
      </c>
      <c r="F6">
        <v>-100.41058068</v>
      </c>
      <c r="G6">
        <v>-100.41076209000001</v>
      </c>
      <c r="H6">
        <v>-100.41090325</v>
      </c>
      <c r="L6">
        <v>1E-4</v>
      </c>
    </row>
    <row r="7" spans="1:12" x14ac:dyDescent="0.25">
      <c r="A7" s="7" t="s">
        <v>166</v>
      </c>
      <c r="B7">
        <v>-55.217531620000003</v>
      </c>
      <c r="C7">
        <v>-55.218004999999998</v>
      </c>
      <c r="D7">
        <v>-55.217058520000002</v>
      </c>
      <c r="E7">
        <v>-55.21794131</v>
      </c>
      <c r="F7">
        <v>-55.217122510000003</v>
      </c>
      <c r="G7">
        <v>-55.217471089999997</v>
      </c>
      <c r="H7">
        <v>-55.217592260000004</v>
      </c>
    </row>
    <row r="8" spans="1:12" x14ac:dyDescent="0.25">
      <c r="A8" s="7" t="s">
        <v>167</v>
      </c>
      <c r="B8">
        <v>-55.145078859999998</v>
      </c>
      <c r="C8">
        <v>-55.14555859</v>
      </c>
      <c r="D8">
        <v>-55.144599360000001</v>
      </c>
      <c r="E8">
        <v>-55.145504410000001</v>
      </c>
      <c r="F8">
        <v>-55.14465388</v>
      </c>
      <c r="G8">
        <v>-55.145019560000001</v>
      </c>
      <c r="H8">
        <v>-55.145138279999998</v>
      </c>
      <c r="L8" t="s">
        <v>179</v>
      </c>
    </row>
    <row r="9" spans="1:12" x14ac:dyDescent="0.25">
      <c r="A9" s="7" t="s">
        <v>168</v>
      </c>
      <c r="B9">
        <v>-55.213129520000003</v>
      </c>
      <c r="C9">
        <v>-55.213603499999998</v>
      </c>
      <c r="D9">
        <v>-55.212655810000001</v>
      </c>
      <c r="E9">
        <v>-55.213540020000003</v>
      </c>
      <c r="F9">
        <v>-55.212719589999999</v>
      </c>
      <c r="G9">
        <v>-55.213069130000001</v>
      </c>
      <c r="H9">
        <v>-55.213190019999999</v>
      </c>
      <c r="L9">
        <v>2.5417462300000002</v>
      </c>
    </row>
    <row r="10" spans="1:12" x14ac:dyDescent="0.25">
      <c r="A10" s="7" t="s">
        <v>169</v>
      </c>
      <c r="B10">
        <v>-55.198119820000002</v>
      </c>
      <c r="C10">
        <v>-55.198595300000001</v>
      </c>
      <c r="D10">
        <v>-55.197644609999998</v>
      </c>
      <c r="E10">
        <v>-55.198533009999998</v>
      </c>
      <c r="F10">
        <v>-55.197707209999997</v>
      </c>
      <c r="G10">
        <v>-55.198059780000001</v>
      </c>
      <c r="H10">
        <v>-55.198179979999999</v>
      </c>
    </row>
    <row r="11" spans="1:12" x14ac:dyDescent="0.25">
      <c r="A11" s="7" t="s">
        <v>170</v>
      </c>
      <c r="B11">
        <v>-75.732192470000001</v>
      </c>
      <c r="C11">
        <v>-75.732701480000003</v>
      </c>
      <c r="D11">
        <v>-75.731683750000002</v>
      </c>
      <c r="E11">
        <v>-75.732749889999994</v>
      </c>
      <c r="F11">
        <v>-75.731635990000001</v>
      </c>
      <c r="G11">
        <v>-75.732257489999995</v>
      </c>
      <c r="H11">
        <v>-75.732127539999993</v>
      </c>
    </row>
    <row r="12" spans="1:12" x14ac:dyDescent="0.25">
      <c r="A12" s="7" t="s">
        <v>171</v>
      </c>
      <c r="B12">
        <v>-75.624872850000003</v>
      </c>
      <c r="C12">
        <v>-75.625287330000006</v>
      </c>
      <c r="D12">
        <v>-75.624458489999995</v>
      </c>
      <c r="E12">
        <v>-75.625439909999997</v>
      </c>
      <c r="F12">
        <v>-75.624306660000002</v>
      </c>
      <c r="G12">
        <v>-75.62493705</v>
      </c>
      <c r="H12">
        <v>-75.624808740000006</v>
      </c>
    </row>
    <row r="13" spans="1:12" x14ac:dyDescent="0.25">
      <c r="A13" s="7" t="s">
        <v>172</v>
      </c>
      <c r="B13">
        <v>-75.725209820000003</v>
      </c>
      <c r="C13">
        <v>-75.725621340000004</v>
      </c>
      <c r="D13">
        <v>-75.724798440000001</v>
      </c>
      <c r="E13">
        <v>-75.725767640000001</v>
      </c>
      <c r="F13">
        <v>-75.724652919999997</v>
      </c>
      <c r="G13">
        <v>-75.725274709999994</v>
      </c>
      <c r="H13">
        <v>-75.725145010000006</v>
      </c>
    </row>
    <row r="14" spans="1:12" x14ac:dyDescent="0.25">
      <c r="A14" s="7" t="s">
        <v>173</v>
      </c>
      <c r="B14">
        <v>-75.702594669999996</v>
      </c>
      <c r="C14">
        <v>-75.703106930000004</v>
      </c>
      <c r="D14">
        <v>-75.702082689999997</v>
      </c>
      <c r="E14">
        <v>-75.703153850000007</v>
      </c>
      <c r="F14">
        <v>-75.702036399999997</v>
      </c>
      <c r="G14">
        <v>-75.702659240000003</v>
      </c>
      <c r="H14">
        <v>-75.702530179999997</v>
      </c>
    </row>
    <row r="15" spans="1:12" x14ac:dyDescent="0.25">
      <c r="A15" s="7" t="s">
        <v>174</v>
      </c>
      <c r="B15">
        <v>-341.85345939000001</v>
      </c>
      <c r="C15">
        <v>-341.85452441000001</v>
      </c>
      <c r="D15">
        <v>-341.85239580000001</v>
      </c>
      <c r="E15">
        <v>-341.85457824999997</v>
      </c>
      <c r="F15">
        <v>-341.85234843000001</v>
      </c>
      <c r="G15">
        <v>-341.85347658000001</v>
      </c>
      <c r="H15">
        <v>-341.85344250000003</v>
      </c>
    </row>
    <row r="16" spans="1:12" x14ac:dyDescent="0.25">
      <c r="A16" s="7" t="s">
        <v>175</v>
      </c>
      <c r="B16">
        <v>-341.61156987999999</v>
      </c>
      <c r="C16">
        <v>-341.61265302999999</v>
      </c>
      <c r="D16">
        <v>-341.61048784000002</v>
      </c>
      <c r="E16">
        <v>-341.61271406999998</v>
      </c>
      <c r="F16">
        <v>-341.61043338000002</v>
      </c>
      <c r="G16">
        <v>-341.61158645</v>
      </c>
      <c r="H16">
        <v>-341.61155359999998</v>
      </c>
    </row>
    <row r="17" spans="1:8" x14ac:dyDescent="0.25">
      <c r="A17" s="7" t="s">
        <v>176</v>
      </c>
      <c r="B17">
        <v>-341.82673514999999</v>
      </c>
      <c r="C17">
        <v>-341.82780152999999</v>
      </c>
      <c r="D17">
        <v>-341.82567016000002</v>
      </c>
      <c r="E17">
        <v>-341.82785502000002</v>
      </c>
      <c r="F17">
        <v>-341.82562316999997</v>
      </c>
      <c r="G17">
        <v>-341.82675218000003</v>
      </c>
      <c r="H17">
        <v>-341.82671841000001</v>
      </c>
    </row>
    <row r="18" spans="1:8" x14ac:dyDescent="0.25">
      <c r="A18" s="7" t="s">
        <v>177</v>
      </c>
      <c r="B18">
        <v>-341.76331814999998</v>
      </c>
      <c r="C18">
        <v>-341.76438922</v>
      </c>
      <c r="D18">
        <v>-341.76224837000001</v>
      </c>
      <c r="E18">
        <v>-341.76444135000003</v>
      </c>
      <c r="F18">
        <v>-341.76220281000002</v>
      </c>
      <c r="G18">
        <v>-341.76333478999999</v>
      </c>
      <c r="H18">
        <v>-341.76330180000002</v>
      </c>
    </row>
    <row r="20" spans="1:8" x14ac:dyDescent="0.25">
      <c r="A20" t="s">
        <v>189</v>
      </c>
    </row>
    <row r="21" spans="1:8" x14ac:dyDescent="0.25">
      <c r="A21" t="s">
        <v>181</v>
      </c>
      <c r="B21" t="s">
        <v>182</v>
      </c>
      <c r="C21" t="s">
        <v>183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</row>
    <row r="22" spans="1:8" x14ac:dyDescent="0.25">
      <c r="A22" s="7" t="s">
        <v>162</v>
      </c>
      <c r="B22">
        <v>-100.44277781</v>
      </c>
      <c r="C22">
        <v>-100.44320872999999</v>
      </c>
      <c r="D22">
        <v>-100.44234704</v>
      </c>
      <c r="E22">
        <v>-100.4430248</v>
      </c>
      <c r="F22">
        <v>-100.44253104000001</v>
      </c>
      <c r="G22">
        <v>-100.4427062</v>
      </c>
      <c r="H22">
        <v>-100.44284949</v>
      </c>
    </row>
    <row r="23" spans="1:8" x14ac:dyDescent="0.25">
      <c r="A23" s="7" t="s">
        <v>163</v>
      </c>
      <c r="B23">
        <v>-100.30159131000001</v>
      </c>
      <c r="C23">
        <v>-100.26346426000001</v>
      </c>
      <c r="D23">
        <v>-100.26258704</v>
      </c>
      <c r="E23">
        <v>-100.26328169</v>
      </c>
      <c r="F23">
        <v>-100.26276968000001</v>
      </c>
      <c r="G23">
        <v>-100.26295467</v>
      </c>
      <c r="H23">
        <v>-100.26309657</v>
      </c>
    </row>
    <row r="24" spans="1:8" x14ac:dyDescent="0.25">
      <c r="A24" s="7" t="s">
        <v>164</v>
      </c>
      <c r="B24">
        <v>-100.43323533</v>
      </c>
      <c r="C24">
        <v>-100.43366700999999</v>
      </c>
      <c r="D24">
        <v>-100.43280378999999</v>
      </c>
      <c r="E24">
        <v>-100.43348297999999</v>
      </c>
      <c r="F24">
        <v>-100.43298789000001</v>
      </c>
      <c r="G24">
        <v>-100.43316382</v>
      </c>
      <c r="H24">
        <v>-100.43330691</v>
      </c>
    </row>
    <row r="25" spans="1:8" x14ac:dyDescent="0.25">
      <c r="A25" s="7" t="s">
        <v>165</v>
      </c>
      <c r="B25">
        <v>-100.40270978</v>
      </c>
      <c r="C25">
        <v>-100.40314309999999</v>
      </c>
      <c r="D25">
        <v>-100.40227659</v>
      </c>
      <c r="E25">
        <v>-100.40295964000001</v>
      </c>
      <c r="F25">
        <v>-100.40246012</v>
      </c>
      <c r="G25">
        <v>-100.40263853</v>
      </c>
      <c r="H25">
        <v>-100.40278109</v>
      </c>
    </row>
    <row r="26" spans="1:8" x14ac:dyDescent="0.25">
      <c r="A26" s="7" t="s">
        <v>166</v>
      </c>
      <c r="B26">
        <v>-55.212371689999998</v>
      </c>
      <c r="C26">
        <v>-55.212843710000001</v>
      </c>
      <c r="D26">
        <v>-55.211899940000002</v>
      </c>
      <c r="E26">
        <v>-55.212779589999997</v>
      </c>
      <c r="F26">
        <v>-55.211964350000002</v>
      </c>
      <c r="G26">
        <v>-55.212310619999997</v>
      </c>
      <c r="H26">
        <v>-55.21243286</v>
      </c>
    </row>
    <row r="27" spans="1:8" x14ac:dyDescent="0.25">
      <c r="A27" s="7" t="s">
        <v>167</v>
      </c>
      <c r="B27">
        <v>-55.142428090000003</v>
      </c>
      <c r="C27">
        <v>-55.142906680000003</v>
      </c>
      <c r="D27">
        <v>-55.14194973</v>
      </c>
      <c r="E27">
        <v>-55.142851669999999</v>
      </c>
      <c r="F27">
        <v>-55.142005079999997</v>
      </c>
      <c r="G27">
        <v>-55.142368320000003</v>
      </c>
      <c r="H27">
        <v>-55.142487979999999</v>
      </c>
    </row>
    <row r="28" spans="1:8" x14ac:dyDescent="0.25">
      <c r="A28" s="7" t="s">
        <v>168</v>
      </c>
      <c r="B28">
        <v>-55.208101980000002</v>
      </c>
      <c r="C28">
        <v>-55.208574609999999</v>
      </c>
      <c r="D28">
        <v>-55.207629609999998</v>
      </c>
      <c r="E28">
        <v>-55.208510670000003</v>
      </c>
      <c r="F28">
        <v>-55.207693849999998</v>
      </c>
      <c r="G28">
        <v>-55.208041049999999</v>
      </c>
      <c r="H28">
        <v>-55.20816301</v>
      </c>
    </row>
    <row r="29" spans="1:8" x14ac:dyDescent="0.25">
      <c r="A29" s="7" t="s">
        <v>169</v>
      </c>
      <c r="B29">
        <v>-55.193516109999997</v>
      </c>
      <c r="C29">
        <v>-55.193990239999998</v>
      </c>
      <c r="D29">
        <v>-55.193042230000003</v>
      </c>
      <c r="E29">
        <v>-55.193927430000002</v>
      </c>
      <c r="F29">
        <v>-55.193105350000003</v>
      </c>
      <c r="G29">
        <v>-55.193455530000001</v>
      </c>
      <c r="H29">
        <v>-55.193576800000002</v>
      </c>
    </row>
    <row r="30" spans="1:8" x14ac:dyDescent="0.25">
      <c r="A30" s="7" t="s">
        <v>170</v>
      </c>
      <c r="B30">
        <v>-75.725054200000002</v>
      </c>
      <c r="C30">
        <v>-75.725561040000002</v>
      </c>
      <c r="D30">
        <v>-75.724547639999997</v>
      </c>
      <c r="E30">
        <v>-75.725611709999995</v>
      </c>
      <c r="F30">
        <v>-75.72449761</v>
      </c>
      <c r="G30">
        <v>-75.72511987</v>
      </c>
      <c r="H30">
        <v>-75.724988620000005</v>
      </c>
    </row>
    <row r="31" spans="1:8" x14ac:dyDescent="0.25">
      <c r="A31" s="7" t="s">
        <v>171</v>
      </c>
      <c r="B31">
        <v>-75.621292710000006</v>
      </c>
      <c r="C31">
        <v>-75.621705980000002</v>
      </c>
      <c r="D31">
        <v>-75.620879549999998</v>
      </c>
      <c r="E31">
        <v>-75.62185968</v>
      </c>
      <c r="F31">
        <v>-75.620726590000004</v>
      </c>
      <c r="G31">
        <v>-75.621357500000002</v>
      </c>
      <c r="H31">
        <v>-75.621228000000002</v>
      </c>
    </row>
    <row r="32" spans="1:8" x14ac:dyDescent="0.25">
      <c r="A32" s="7" t="s">
        <v>172</v>
      </c>
      <c r="B32">
        <v>-75.718257890000004</v>
      </c>
      <c r="C32">
        <v>-75.718667870000004</v>
      </c>
      <c r="D32">
        <v>-75.717848059999994</v>
      </c>
      <c r="E32">
        <v>-75.718815800000002</v>
      </c>
      <c r="F32">
        <v>-75.717700899999997</v>
      </c>
      <c r="G32">
        <v>-75.718323440000006</v>
      </c>
      <c r="H32">
        <v>-75.718192430000002</v>
      </c>
    </row>
    <row r="33" spans="1:8" x14ac:dyDescent="0.25">
      <c r="A33" s="7" t="s">
        <v>173</v>
      </c>
      <c r="B33">
        <v>-75.696201810000005</v>
      </c>
      <c r="C33">
        <v>-75.696711910000005</v>
      </c>
      <c r="D33">
        <v>-75.695691980000007</v>
      </c>
      <c r="E33">
        <v>-75.696761050000006</v>
      </c>
      <c r="F33">
        <v>-75.695643469999993</v>
      </c>
      <c r="G33">
        <v>-75.696267039999995</v>
      </c>
      <c r="H33">
        <v>-75.696136670000001</v>
      </c>
    </row>
    <row r="34" spans="1:8" x14ac:dyDescent="0.25">
      <c r="A34" s="7" t="s">
        <v>174</v>
      </c>
      <c r="B34">
        <v>-341.84441321000003</v>
      </c>
      <c r="C34">
        <v>-341.84547730000003</v>
      </c>
      <c r="D34">
        <v>-341.84335052</v>
      </c>
      <c r="E34">
        <v>-341.84553390000002</v>
      </c>
      <c r="F34">
        <v>-341.84330036</v>
      </c>
      <c r="G34">
        <v>-341.84443073</v>
      </c>
      <c r="H34">
        <v>-341.84439598</v>
      </c>
    </row>
    <row r="35" spans="1:8" x14ac:dyDescent="0.25">
      <c r="A35" s="7" t="s">
        <v>175</v>
      </c>
      <c r="B35">
        <v>-341.60803024000001</v>
      </c>
      <c r="C35">
        <v>-341.60911203000001</v>
      </c>
      <c r="D35">
        <v>-341.60694954000002</v>
      </c>
      <c r="E35">
        <v>-341.60917423000001</v>
      </c>
      <c r="F35">
        <v>-341.60689389999999</v>
      </c>
      <c r="G35">
        <v>-341.60804709000001</v>
      </c>
      <c r="H35">
        <v>-341.60801369000001</v>
      </c>
    </row>
    <row r="36" spans="1:8" x14ac:dyDescent="0.25">
      <c r="A36" s="7" t="s">
        <v>176</v>
      </c>
      <c r="B36">
        <v>-341.81809687999998</v>
      </c>
      <c r="C36">
        <v>-341.81916228</v>
      </c>
      <c r="D36">
        <v>-341.81703286999999</v>
      </c>
      <c r="E36">
        <v>-341.81921844999999</v>
      </c>
      <c r="F36">
        <v>-341.81698317000001</v>
      </c>
      <c r="G36">
        <v>-341.81811424</v>
      </c>
      <c r="H36">
        <v>-341.81807981999998</v>
      </c>
    </row>
    <row r="37" spans="1:8" x14ac:dyDescent="0.25">
      <c r="A37" s="7" t="s">
        <v>177</v>
      </c>
      <c r="B37">
        <v>-341.75590562999997</v>
      </c>
      <c r="C37">
        <v>-341.75697556</v>
      </c>
      <c r="D37">
        <v>-341.75483697999999</v>
      </c>
      <c r="E37">
        <v>-341.75703012000002</v>
      </c>
      <c r="F37">
        <v>-341.75478896999999</v>
      </c>
      <c r="G37">
        <v>-341.75592260000002</v>
      </c>
      <c r="H37">
        <v>-341.75588894999999</v>
      </c>
    </row>
    <row r="39" spans="1:8" x14ac:dyDescent="0.25">
      <c r="A39" t="s">
        <v>191</v>
      </c>
    </row>
    <row r="40" spans="1:8" x14ac:dyDescent="0.25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186</v>
      </c>
      <c r="G40" t="s">
        <v>187</v>
      </c>
      <c r="H40" t="s">
        <v>188</v>
      </c>
    </row>
    <row r="41" spans="1:8" x14ac:dyDescent="0.25">
      <c r="A41" s="7" t="s">
        <v>162</v>
      </c>
      <c r="B41">
        <v>-100.44485686</v>
      </c>
      <c r="C41">
        <v>-100.44529309000001</v>
      </c>
      <c r="D41">
        <v>-100.44442078</v>
      </c>
      <c r="E41">
        <v>-100.44510717999999</v>
      </c>
      <c r="F41">
        <v>-100.44460675000001</v>
      </c>
      <c r="G41">
        <v>-100.44478561</v>
      </c>
      <c r="H41">
        <v>-100.44492817</v>
      </c>
    </row>
    <row r="42" spans="1:8" x14ac:dyDescent="0.25">
      <c r="A42" s="7" t="s">
        <v>163</v>
      </c>
      <c r="B42">
        <v>-100.29735739</v>
      </c>
      <c r="C42">
        <v>-100.26024597</v>
      </c>
      <c r="D42">
        <v>-100.25936129999999</v>
      </c>
      <c r="E42">
        <v>-100.26006160999999</v>
      </c>
      <c r="F42">
        <v>-100.25954573999999</v>
      </c>
      <c r="G42">
        <v>-100.25973272</v>
      </c>
      <c r="H42">
        <v>-100.25987449</v>
      </c>
    </row>
    <row r="43" spans="1:8" x14ac:dyDescent="0.25">
      <c r="A43" s="7" t="s">
        <v>164</v>
      </c>
      <c r="B43">
        <v>-100.43355267</v>
      </c>
      <c r="C43">
        <v>-100.43398954</v>
      </c>
      <c r="D43">
        <v>-100.43311595</v>
      </c>
      <c r="E43">
        <v>-100.43380362000001</v>
      </c>
      <c r="F43">
        <v>-100.43330193</v>
      </c>
      <c r="G43">
        <v>-100.43348152</v>
      </c>
      <c r="H43">
        <v>-100.43362389000001</v>
      </c>
    </row>
    <row r="44" spans="1:8" x14ac:dyDescent="0.25">
      <c r="A44" s="7" t="s">
        <v>165</v>
      </c>
      <c r="B44">
        <v>-100.40113235</v>
      </c>
      <c r="C44">
        <v>-100.40157050000001</v>
      </c>
      <c r="D44">
        <v>-100.40069434</v>
      </c>
      <c r="E44">
        <v>-100.40138512999999</v>
      </c>
      <c r="F44">
        <v>-100.40087977</v>
      </c>
      <c r="G44">
        <v>-100.40106136999999</v>
      </c>
      <c r="H44">
        <v>-100.4012034</v>
      </c>
    </row>
    <row r="45" spans="1:8" x14ac:dyDescent="0.25">
      <c r="A45" s="7" t="s">
        <v>166</v>
      </c>
      <c r="B45">
        <v>-55.195425419999999</v>
      </c>
      <c r="C45">
        <v>-55.195899369999999</v>
      </c>
      <c r="D45">
        <v>-55.194951760000002</v>
      </c>
      <c r="E45">
        <v>-55.195832439999997</v>
      </c>
      <c r="F45">
        <v>-55.19501898</v>
      </c>
      <c r="G45">
        <v>-55.195363290000003</v>
      </c>
      <c r="H45">
        <v>-55.195487659999998</v>
      </c>
    </row>
    <row r="46" spans="1:8" x14ac:dyDescent="0.25">
      <c r="A46" s="7" t="s">
        <v>167</v>
      </c>
      <c r="B46">
        <v>-55.120412270000003</v>
      </c>
      <c r="C46">
        <v>-55.120891450000002</v>
      </c>
      <c r="D46">
        <v>-55.119933320000001</v>
      </c>
      <c r="E46">
        <v>-55.120833320000003</v>
      </c>
      <c r="F46">
        <v>-55.11999179</v>
      </c>
      <c r="G46">
        <v>-55.12035084</v>
      </c>
      <c r="H46">
        <v>-55.12047381</v>
      </c>
    </row>
    <row r="47" spans="1:8" x14ac:dyDescent="0.25">
      <c r="A47" s="7" t="s">
        <v>168</v>
      </c>
      <c r="B47">
        <v>-55.189934860000001</v>
      </c>
      <c r="C47">
        <v>-55.190409369999998</v>
      </c>
      <c r="D47">
        <v>-55.189460609999998</v>
      </c>
      <c r="E47">
        <v>-55.190342780000002</v>
      </c>
      <c r="F47">
        <v>-55.189527499999997</v>
      </c>
      <c r="G47">
        <v>-55.189872870000002</v>
      </c>
      <c r="H47">
        <v>-55.189996950000001</v>
      </c>
    </row>
    <row r="48" spans="1:8" x14ac:dyDescent="0.25">
      <c r="A48" s="7" t="s">
        <v>169</v>
      </c>
      <c r="B48">
        <v>-55.173414719999997</v>
      </c>
      <c r="C48">
        <v>-55.173890550000003</v>
      </c>
      <c r="D48">
        <v>-55.172939149999998</v>
      </c>
      <c r="E48">
        <v>-55.173825170000001</v>
      </c>
      <c r="F48">
        <v>-55.173004849999998</v>
      </c>
      <c r="G48">
        <v>-55.17335301</v>
      </c>
      <c r="H48">
        <v>-55.173476549999997</v>
      </c>
    </row>
    <row r="49" spans="1:8" x14ac:dyDescent="0.25">
      <c r="A49" s="7" t="s">
        <v>170</v>
      </c>
      <c r="B49">
        <v>-75.714506249999999</v>
      </c>
      <c r="C49">
        <v>-75.715017189999998</v>
      </c>
      <c r="D49">
        <v>-75.713995609999998</v>
      </c>
      <c r="E49">
        <v>-75.715066489999998</v>
      </c>
      <c r="F49">
        <v>-75.713946949999993</v>
      </c>
      <c r="G49">
        <v>-75.714572340000004</v>
      </c>
      <c r="H49">
        <v>-75.714440249999996</v>
      </c>
    </row>
    <row r="50" spans="1:8" x14ac:dyDescent="0.25">
      <c r="A50" s="7" t="s">
        <v>171</v>
      </c>
      <c r="B50">
        <v>-75.605247480000003</v>
      </c>
      <c r="C50">
        <v>-75.605662199999998</v>
      </c>
      <c r="D50">
        <v>-75.604832880000004</v>
      </c>
      <c r="E50">
        <v>-75.605816820000001</v>
      </c>
      <c r="F50">
        <v>-75.604679000000004</v>
      </c>
      <c r="G50">
        <v>-75.605313100000004</v>
      </c>
      <c r="H50">
        <v>-75.605181950000002</v>
      </c>
    </row>
    <row r="51" spans="1:8" x14ac:dyDescent="0.25">
      <c r="A51" s="7" t="s">
        <v>172</v>
      </c>
      <c r="B51">
        <v>-75.706133969999996</v>
      </c>
      <c r="C51">
        <v>-75.706546779999996</v>
      </c>
      <c r="D51">
        <v>-75.705721310000001</v>
      </c>
      <c r="E51">
        <v>-75.706694600000006</v>
      </c>
      <c r="F51">
        <v>-75.70557427</v>
      </c>
      <c r="G51">
        <v>-75.706199940000005</v>
      </c>
      <c r="H51">
        <v>-75.706068090000002</v>
      </c>
    </row>
    <row r="52" spans="1:8" x14ac:dyDescent="0.25">
      <c r="A52" s="7" t="s">
        <v>173</v>
      </c>
      <c r="B52">
        <v>-75.682033739999994</v>
      </c>
      <c r="C52">
        <v>-75.682547499999998</v>
      </c>
      <c r="D52">
        <v>-75.681520259999999</v>
      </c>
      <c r="E52">
        <v>-75.682595660000004</v>
      </c>
      <c r="F52">
        <v>-75.681472720000002</v>
      </c>
      <c r="G52">
        <v>-75.682099469999997</v>
      </c>
      <c r="H52">
        <v>-75.681968089999998</v>
      </c>
    </row>
    <row r="53" spans="1:8" x14ac:dyDescent="0.25">
      <c r="A53" s="7" t="s">
        <v>174</v>
      </c>
      <c r="B53">
        <v>-341.82437154000002</v>
      </c>
      <c r="C53">
        <v>-341.82544016000003</v>
      </c>
      <c r="D53">
        <v>-341.82330436000001</v>
      </c>
      <c r="E53">
        <v>-341.82549440000003</v>
      </c>
      <c r="F53">
        <v>-341.82325662</v>
      </c>
      <c r="G53">
        <v>-341.82438925000002</v>
      </c>
      <c r="H53">
        <v>-341.82435413000002</v>
      </c>
    </row>
    <row r="54" spans="1:8" x14ac:dyDescent="0.25">
      <c r="A54" s="7" t="s">
        <v>175</v>
      </c>
      <c r="B54">
        <v>-341.58449401000001</v>
      </c>
      <c r="C54">
        <v>-341.58557787000001</v>
      </c>
      <c r="D54">
        <v>-341.58341123000002</v>
      </c>
      <c r="E54">
        <v>-341.58564568999998</v>
      </c>
      <c r="F54">
        <v>-341.58335003000002</v>
      </c>
      <c r="G54">
        <v>-341.58451252999998</v>
      </c>
      <c r="H54">
        <v>-341.58447577999999</v>
      </c>
    </row>
    <row r="55" spans="1:8" x14ac:dyDescent="0.25">
      <c r="A55" s="7" t="s">
        <v>176</v>
      </c>
      <c r="B55">
        <v>-341.79598713000001</v>
      </c>
      <c r="C55">
        <v>-341.79705715</v>
      </c>
      <c r="D55">
        <v>-341.79491851</v>
      </c>
      <c r="E55">
        <v>-341.79711114000003</v>
      </c>
      <c r="F55">
        <v>-341.79487105999999</v>
      </c>
      <c r="G55">
        <v>-341.79600463999998</v>
      </c>
      <c r="H55">
        <v>-341.79596991</v>
      </c>
    </row>
    <row r="56" spans="1:8" x14ac:dyDescent="0.25">
      <c r="A56" s="7" t="s">
        <v>177</v>
      </c>
      <c r="B56">
        <v>-341.73192408</v>
      </c>
      <c r="C56">
        <v>-341.73299845000003</v>
      </c>
      <c r="D56">
        <v>-341.73085101999999</v>
      </c>
      <c r="E56">
        <v>-341.73305200999999</v>
      </c>
      <c r="F56">
        <v>-341.73080406999998</v>
      </c>
      <c r="G56">
        <v>-341.73194138000002</v>
      </c>
      <c r="H56">
        <v>-341.73190707999998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32AE-AF6C-41B4-92B7-4CEABB692845}">
  <dimension ref="A1:AC26"/>
  <sheetViews>
    <sheetView zoomScale="90" zoomScaleNormal="90" workbookViewId="0">
      <selection activeCell="K42" sqref="K42"/>
    </sheetView>
  </sheetViews>
  <sheetFormatPr defaultRowHeight="15" x14ac:dyDescent="0.25"/>
  <cols>
    <col min="1" max="1" width="23.140625" bestFit="1" customWidth="1"/>
    <col min="4" max="4" width="12.7109375" bestFit="1" customWidth="1"/>
    <col min="10" max="10" width="12.7109375" bestFit="1" customWidth="1"/>
    <col min="11" max="11" width="10" bestFit="1" customWidth="1"/>
    <col min="16" max="16" width="12.7109375" bestFit="1" customWidth="1"/>
    <col min="20" max="20" width="7.7109375" bestFit="1" customWidth="1"/>
  </cols>
  <sheetData>
    <row r="1" spans="1:29" x14ac:dyDescent="0.25">
      <c r="A1" t="s">
        <v>196</v>
      </c>
      <c r="B1" t="s">
        <v>192</v>
      </c>
      <c r="C1" t="s">
        <v>191</v>
      </c>
      <c r="D1" t="s">
        <v>189</v>
      </c>
      <c r="E1" t="s">
        <v>190</v>
      </c>
      <c r="G1" t="s">
        <v>197</v>
      </c>
      <c r="H1" t="s">
        <v>192</v>
      </c>
      <c r="I1" t="s">
        <v>191</v>
      </c>
      <c r="J1" t="s">
        <v>189</v>
      </c>
      <c r="K1" t="s">
        <v>190</v>
      </c>
      <c r="M1" t="s">
        <v>198</v>
      </c>
      <c r="N1" t="s">
        <v>192</v>
      </c>
      <c r="O1" t="s">
        <v>191</v>
      </c>
      <c r="P1" t="s">
        <v>189</v>
      </c>
      <c r="Q1" t="s">
        <v>190</v>
      </c>
      <c r="S1" t="s">
        <v>199</v>
      </c>
      <c r="T1" t="s">
        <v>192</v>
      </c>
      <c r="U1" t="s">
        <v>191</v>
      </c>
      <c r="V1" t="s">
        <v>189</v>
      </c>
      <c r="W1" t="s">
        <v>190</v>
      </c>
      <c r="Y1" t="s">
        <v>221</v>
      </c>
      <c r="Z1" t="s">
        <v>192</v>
      </c>
      <c r="AA1" t="s">
        <v>191</v>
      </c>
      <c r="AB1" t="s">
        <v>189</v>
      </c>
      <c r="AC1" t="s">
        <v>190</v>
      </c>
    </row>
    <row r="2" spans="1:29" x14ac:dyDescent="0.25">
      <c r="A2" s="12" t="s">
        <v>192</v>
      </c>
      <c r="B2">
        <f>quadrupoles__2[[#This Row],[XX]]</f>
        <v>-5.6852</v>
      </c>
      <c r="C2">
        <f ca="1">(OFFSET('cbs_limit(energy)'!$C$41,(ROW('cbs_limit(energy)'!C41)-ROW('cbs_limit(energy)'!$C$41))*4,0)-OFFSET('cbs_limit(energy)'!$D$41,(ROW('cbs_limit(energy)'!D41)-ROW('cbs_limit(energy)'!$D$41))*4,0))/(2*'cbs_limit(energy)'!$L$6)*'cbs_limit(energy)'!$L$3</f>
        <v>-5.8664315990634499</v>
      </c>
      <c r="D2">
        <f ca="1">(OFFSET('cbs_limit(energy)'!$C$22,(ROW('cbs_limit(energy)'!C22)-ROW('cbs_limit(energy)'!$C$22))*4,0)-OFFSET('cbs_limit(energy)'!$D$22,(ROW('cbs_limit(energy)'!D22)-ROW('cbs_limit(energy)'!$D$22))*4,0))/(2*'cbs_limit(energy)'!$L$6)*'cbs_limit(energy)'!$L$3</f>
        <v>-5.7950103111599196</v>
      </c>
      <c r="E2">
        <f ca="1">(OFFSET('cbs_limit(energy)'!$C$3,(ROW('cbs_limit(energy)'!C3)-ROW('cbs_limit(energy)'!$C$3))*4,0)-OFFSET('cbs_limit(energy)'!$D$3,(ROW('cbs_limit(energy)'!D3)-ROW('cbs_limit(energy)'!$D$3))*4,0))/(2*'cbs_limit(energy)'!$L$6)*'cbs_limit(energy)'!$L$3</f>
        <v>-5.8213729711510274</v>
      </c>
      <c r="H2">
        <f>quadrupoles_hf!B4</f>
        <v>-5.6897000000000002</v>
      </c>
      <c r="I2">
        <f ca="1">(OFFSET('cbs_limit(energy)'!$C$43,(ROW('cbs_limit(energy)'!C43)-ROW('cbs_limit(energy)'!$C$43))*4,0)-OFFSET('cbs_limit(energy)'!$D$43,(ROW('cbs_limit(energy)'!D43)-ROW('cbs_limit(energy)'!$D$43))*4,0))/(2*'cbs_limit(energy)'!$L$6)*'cbs_limit(energy)'!$L$3</f>
        <v>-5.8750398144927338</v>
      </c>
      <c r="J2">
        <f ca="1">(OFFSET('cbs_limit(energy)'!$C$24,(ROW('cbs_limit(energy)'!C24)-ROW('cbs_limit(energy)'!$C$24))*4,0)-OFFSET('cbs_limit(energy)'!$D$24,(ROW('cbs_limit(energy)'!D24)-ROW('cbs_limit(energy)'!$D$24))*4,0))/(2*'cbs_limit(energy)'!$L$6)*'cbs_limit(energy)'!$L$3</f>
        <v>-5.8052998187667795</v>
      </c>
      <c r="K2">
        <f ca="1">(OFFSET('cbs_limit(energy)'!$C$5,(ROW('cbs_limit(energy)'!C5)-ROW('cbs_limit(energy)'!$C$5))*4,0)-OFFSET('cbs_limit(energy)'!$D$5,(ROW('cbs_limit(energy)'!D5)-ROW('cbs_limit(energy)'!$D$5))*4,0))/(2*'cbs_limit(energy)'!$L$6)*'cbs_limit(energy)'!$L$3</f>
        <v>-5.831393472001829</v>
      </c>
      <c r="N2">
        <f>quadrupoles_hf!B5</f>
        <v>-5.6962000000000002</v>
      </c>
      <c r="O2">
        <f ca="1">(OFFSET('cbs_limit(energy)'!$C$44,(ROW('cbs_limit(energy)'!C44)-ROW('cbs_limit(energy)'!$C$44))*4,0)-OFFSET('cbs_limit(energy)'!$D$44,(ROW('cbs_limit(energy)'!D44)-ROW('cbs_limit(energy)'!$D$44))*4,0))/(2*'cbs_limit(energy)'!$L$6)*'cbs_limit(energy)'!$L$3</f>
        <v>-5.8923234971836713</v>
      </c>
      <c r="P2">
        <f ca="1">(OFFSET('cbs_limit(energy)'!$C$25,(ROW('cbs_limit(energy)'!C25)-ROW('cbs_limit(energy)'!$C$25))*4,0)-OFFSET('cbs_limit(energy)'!$D$25,(ROW('cbs_limit(energy)'!D25)-ROW('cbs_limit(energy)'!$D$25))*4,0))/(2*'cbs_limit(energy)'!$L$6)*'cbs_limit(energy)'!$L$3</f>
        <v>-5.8274256225889038</v>
      </c>
      <c r="Q2">
        <f ca="1">(OFFSET('cbs_limit(energy)'!$C$6,(ROW('cbs_limit(energy)'!C6)-ROW('cbs_limit(energy)'!$C$6))*4,0)-OFFSET('cbs_limit(energy)'!$D$6,(ROW('cbs_limit(energy)'!D6)-ROW('cbs_limit(energy)'!$D$6))*4,0))/(2*'cbs_limit(energy)'!$L$6)*'cbs_limit(energy)'!$L$3</f>
        <v>-5.8529140105750388</v>
      </c>
      <c r="T2">
        <f>B2</f>
        <v>-5.6852</v>
      </c>
      <c r="U2">
        <f ca="1">((C2-B2)*5^3-(I2-H2)*4^3)/(5^3-4^3)+T2</f>
        <v>-5.8621213402523979</v>
      </c>
      <c r="V2">
        <f ca="1">((D2-B2)*5^3-(J2-H2)*4^3)/(5^3-4^3)+T2</f>
        <v>-5.7889360736707554</v>
      </c>
      <c r="W2">
        <f ca="1">((E2-B2)*5^3-(K2-H2)*4^3)/(5^3-4^3)+T2</f>
        <v>-5.8155809702583836</v>
      </c>
      <c r="Z2">
        <f>ABS(T2-B2)/ABS(B2)</f>
        <v>0</v>
      </c>
      <c r="AA2">
        <f t="shared" ref="AA2:AC5" ca="1" si="0">ABS(U2-C2)/ABS(C2)</f>
        <v>7.3473264594784891E-4</v>
      </c>
      <c r="AB2">
        <f t="shared" ca="1" si="0"/>
        <v>1.0481840692270377E-3</v>
      </c>
      <c r="AC2">
        <f t="shared" ca="1" si="0"/>
        <v>9.9495444139160462E-4</v>
      </c>
    </row>
    <row r="3" spans="1:29" x14ac:dyDescent="0.25">
      <c r="A3" s="12" t="s">
        <v>193</v>
      </c>
      <c r="B3">
        <f>quadrupoles_hf!B6</f>
        <v>-6.2690000000000001</v>
      </c>
      <c r="C3">
        <f ca="1">(OFFSET('cbs_limit(energy)'!$C$41,(ROW('cbs_limit(energy)'!C42)-ROW('cbs_limit(energy)'!$C$41))*4,0)-OFFSET('cbs_limit(energy)'!$D$41,(ROW('cbs_limit(energy)'!D42)-ROW('cbs_limit(energy)'!$D$41))*4,0))/(2*'cbs_limit(energy)'!$L$6)*'cbs_limit(energy)'!$L$3</f>
        <v>-6.372836775386701</v>
      </c>
      <c r="D3">
        <f ca="1">(OFFSET('cbs_limit(energy)'!$C$22,(ROW('cbs_limit(energy)'!C23)-ROW('cbs_limit(energy)'!$C$22))*4,0)-OFFSET('cbs_limit(energy)'!$D$22,(ROW('cbs_limit(energy)'!D23)-ROW('cbs_limit(energy)'!$D$22))*4,0))/(2*'cbs_limit(energy)'!$L$6)*'cbs_limit(energy)'!$L$3</f>
        <v>-6.3470121289554937</v>
      </c>
      <c r="E3">
        <f ca="1">(OFFSET('cbs_limit(energy)'!$C$3,(ROW('cbs_limit(energy)'!C4)-ROW('cbs_limit(energy)'!$C$3))*4,0)-OFFSET('cbs_limit(energy)'!$D$3,(ROW('cbs_limit(energy)'!D4)-ROW('cbs_limit(energy)'!$D$3))*4,0))/(2*'cbs_limit(energy)'!$L$6)*'cbs_limit(energy)'!$L$3</f>
        <v>-6.3652373351492777</v>
      </c>
      <c r="H3">
        <f>quadrupoles_hf!B8</f>
        <v>-6.2725</v>
      </c>
      <c r="I3">
        <f ca="1">(OFFSET('cbs_limit(energy)'!$C$43,(ROW('cbs_limit(energy)'!C44)-ROW('cbs_limit(energy)'!$C$43))*4,0)-OFFSET('cbs_limit(energy)'!$D$43,(ROW('cbs_limit(energy)'!D44)-ROW('cbs_limit(energy)'!$D$43))*4,0))/(2*'cbs_limit(energy)'!$L$6)*'cbs_limit(energy)'!$L$3</f>
        <v>-6.3805707190021526</v>
      </c>
      <c r="J3">
        <f ca="1">(OFFSET('cbs_limit(energy)'!$C$24,(ROW('cbs_limit(energy)'!C25)-ROW('cbs_limit(energy)'!$C$24))*4,0)-OFFSET('cbs_limit(energy)'!$D$24,(ROW('cbs_limit(energy)'!D25)-ROW('cbs_limit(energy)'!$D$24))*4,0))/(2*'cbs_limit(energy)'!$L$6)*'cbs_limit(energy)'!$L$3</f>
        <v>-6.3552840860352759</v>
      </c>
      <c r="K3">
        <f ca="1">(OFFSET('cbs_limit(energy)'!$C$5,(ROW('cbs_limit(energy)'!C6)-ROW('cbs_limit(energy)'!$C$5))*4,0)-OFFSET('cbs_limit(energy)'!$D$5,(ROW('cbs_limit(energy)'!D6)-ROW('cbs_limit(energy)'!$D$5))*4,0))/(2*'cbs_limit(energy)'!$L$6)*'cbs_limit(energy)'!$L$3</f>
        <v>-6.3733747888510308</v>
      </c>
      <c r="N3">
        <f>quadrupoles_hf!B9</f>
        <v>-6.2786999999999997</v>
      </c>
      <c r="O3">
        <f ca="1">(OFFSET('cbs_limit(energy)'!$C$44,(ROW('cbs_limit(energy)'!C45)-ROW('cbs_limit(energy)'!$C$44))*4,0)-OFFSET('cbs_limit(energy)'!$D$44,(ROW('cbs_limit(energy)'!D45)-ROW('cbs_limit(energy)'!$D$44))*4,0))/(2*'cbs_limit(energy)'!$L$6)*'cbs_limit(energy)'!$L$3</f>
        <v>-6.3983251634684057</v>
      </c>
      <c r="P3">
        <f ca="1">(OFFSET('cbs_limit(energy)'!$C$25,(ROW('cbs_limit(energy)'!C26)-ROW('cbs_limit(energy)'!$C$25))*4,0)-OFFSET('cbs_limit(energy)'!$D$25,(ROW('cbs_limit(energy)'!D26)-ROW('cbs_limit(energy)'!$D$25))*4,0))/(2*'cbs_limit(energy)'!$L$6)*'cbs_limit(energy)'!$L$3</f>
        <v>-6.3755268427083518</v>
      </c>
      <c r="Q3">
        <f ca="1">(OFFSET('cbs_limit(energy)'!$C$6,(ROW('cbs_limit(energy)'!C7)-ROW('cbs_limit(energy)'!$C$6))*4,0)-OFFSET('cbs_limit(energy)'!$D$6,(ROW('cbs_limit(energy)'!D7)-ROW('cbs_limit(energy)'!$D$6))*4,0))/(2*'cbs_limit(energy)'!$L$6)*'cbs_limit(energy)'!$L$3</f>
        <v>-6.3935502939306632</v>
      </c>
      <c r="T3">
        <f t="shared" ref="T3:T5" si="1">B3</f>
        <v>-6.2690000000000001</v>
      </c>
      <c r="U3">
        <f t="shared" ref="U3:U5" ca="1" si="2">((C3-B3)*5^3-(I3-H3)*4^3)/(5^3-4^3)+T3</f>
        <v>-6.3683946050360634</v>
      </c>
      <c r="V3">
        <f t="shared" ref="V3:V5" ca="1" si="3">((D3-B3)*5^3-(J3-H3)*4^3)/(5^3-4^3)+T3</f>
        <v>-6.3420054854619519</v>
      </c>
      <c r="W3">
        <f t="shared" ref="W3:W5" ca="1" si="4">((E3-B3)*5^3-(K3-H3)*4^3)/(5^3-4^3)+T3</f>
        <v>-6.3603718099539952</v>
      </c>
      <c r="Z3">
        <f t="shared" ref="Z3:Z5" si="5">ABS(T3-B3)/ABS(B3)</f>
        <v>0</v>
      </c>
      <c r="AA3">
        <f t="shared" ca="1" si="0"/>
        <v>6.9704756409175476E-4</v>
      </c>
      <c r="AB3">
        <f t="shared" ca="1" si="0"/>
        <v>7.8881895793159261E-4</v>
      </c>
      <c r="AC3">
        <f t="shared" ca="1" si="0"/>
        <v>7.6439022444846317E-4</v>
      </c>
    </row>
    <row r="4" spans="1:29" x14ac:dyDescent="0.25">
      <c r="A4" s="12" t="s">
        <v>195</v>
      </c>
      <c r="B4">
        <f>quadrupoles_hf!B10</f>
        <v>-5.4101999999999997</v>
      </c>
      <c r="C4">
        <f ca="1">(OFFSET('cbs_limit(energy)'!$C$41,(ROW('cbs_limit(energy)'!C43)-ROW('cbs_limit(energy)'!$C$41))*4,0)-OFFSET('cbs_limit(energy)'!$D$41,(ROW('cbs_limit(energy)'!D43)-ROW('cbs_limit(energy)'!$D$41))*4,0))/(2*'cbs_limit(energy)'!$L$6)*'cbs_limit(energy)'!$L$3</f>
        <v>-6.8702974778833807</v>
      </c>
      <c r="D4">
        <f ca="1">(OFFSET('cbs_limit(energy)'!$C$22,(ROW('cbs_limit(energy)'!C24)-ROW('cbs_limit(energy)'!$C$22))*4,0)-OFFSET('cbs_limit(energy)'!$D$22,(ROW('cbs_limit(energy)'!D24)-ROW('cbs_limit(energy)'!$D$22))*4,0))/(2*'cbs_limit(energy)'!$L$6)*'cbs_limit(energy)'!$L$3</f>
        <v>-6.8152856008569564</v>
      </c>
      <c r="E4">
        <f ca="1">(OFFSET('cbs_limit(energy)'!$C$3,(ROW('cbs_limit(energy)'!C5)-ROW('cbs_limit(energy)'!$C$3))*4,0)-OFFSET('cbs_limit(energy)'!$D$3,(ROW('cbs_limit(energy)'!D5)-ROW('cbs_limit(energy)'!$D$3))*4,0))/(2*'cbs_limit(energy)'!$L$6)*'cbs_limit(energy)'!$L$3</f>
        <v>-6.8444055797631593</v>
      </c>
      <c r="H4">
        <f>quadrupoles_hf!B12</f>
        <v>-5.4127000000000001</v>
      </c>
      <c r="I4" s="10">
        <f ca="1">(OFFSET('cbs_limit(energy)'!$C$43,(ROW('cbs_limit(energy)'!C45)-ROW('cbs_limit(energy)'!$C$43))*4,0)-OFFSET('cbs_limit(energy)'!$D$43,(ROW('cbs_limit(energy)'!D45)-ROW('cbs_limit(energy)'!$D$43))*4,0))/(2*'cbs_limit(energy)'!$L$6)*'cbs_limit(energy)'!$L$3</f>
        <v>-5.5514247137150097</v>
      </c>
      <c r="J4" s="10">
        <f ca="1">(OFFSET('cbs_limit(energy)'!$C$24,(ROW('cbs_limit(energy)'!C26)-ROW('cbs_limit(energy)'!$C$24))*4,0)-OFFSET('cbs_limit(energy)'!$D$24,(ROW('cbs_limit(energy)'!D26)-ROW('cbs_limit(energy)'!$D$24))*4,0))/(2*'cbs_limit(energy)'!$L$6)*'cbs_limit(energy)'!$L$3</f>
        <v>-5.5133602609822354</v>
      </c>
      <c r="K4" s="10">
        <f ca="1">(OFFSET('cbs_limit(energy)'!$C$5,(ROW('cbs_limit(energy)'!C7)-ROW('cbs_limit(energy)'!$C$5))*4,0)-OFFSET('cbs_limit(energy)'!$D$5,(ROW('cbs_limit(energy)'!D7)-ROW('cbs_limit(energy)'!$D$5))*4,0))/(2*'cbs_limit(energy)'!$L$6)*'cbs_limit(energy)'!$L$3</f>
        <v>-5.534141031119642</v>
      </c>
      <c r="N4">
        <f>quadrupoles_hf!B13</f>
        <v>-5.4154</v>
      </c>
      <c r="O4">
        <f ca="1">(OFFSET('cbs_limit(energy)'!$C$44,(ROW('cbs_limit(energy)'!C46)-ROW('cbs_limit(energy)'!$C$44))*4,0)-OFFSET('cbs_limit(energy)'!$D$44,(ROW('cbs_limit(energy)'!D46)-ROW('cbs_limit(energy)'!$D$44))*4,0))/(2*'cbs_limit(energy)'!$L$6)*'cbs_limit(energy)'!$L$3</f>
        <v>-6.9083619307117248</v>
      </c>
      <c r="P4">
        <f ca="1">(OFFSET('cbs_limit(energy)'!$C$25,(ROW('cbs_limit(energy)'!C27)-ROW('cbs_limit(energy)'!$C$25))*4,0)-OFFSET('cbs_limit(energy)'!$D$25,(ROW('cbs_limit(energy)'!D27)-ROW('cbs_limit(energy)'!$D$25))*4,0))/(2*'cbs_limit(energy)'!$L$6)*'cbs_limit(energy)'!$L$3</f>
        <v>-6.8592009501039186</v>
      </c>
      <c r="Q4">
        <f ca="1">(OFFSET('cbs_limit(energy)'!$C$6,(ROW('cbs_limit(energy)'!C8)-ROW('cbs_limit(energy)'!$C$6))*4,0)-OFFSET('cbs_limit(energy)'!$D$6,(ROW('cbs_limit(energy)'!D8)-ROW('cbs_limit(energy)'!$D$6))*4,0))/(2*'cbs_limit(energy)'!$L$6)*'cbs_limit(energy)'!$L$3</f>
        <v>-6.888186425727663</v>
      </c>
      <c r="T4">
        <f t="shared" si="1"/>
        <v>-5.4101999999999997</v>
      </c>
      <c r="U4">
        <f t="shared" ca="1" si="2"/>
        <v>-8.2566557878305247</v>
      </c>
      <c r="V4">
        <f t="shared" ca="1" si="3"/>
        <v>-8.1838630066271563</v>
      </c>
      <c r="W4">
        <f t="shared" ca="1" si="4"/>
        <v>-8.2217323193235714</v>
      </c>
      <c r="Z4">
        <f t="shared" si="5"/>
        <v>0</v>
      </c>
      <c r="AA4">
        <f t="shared" ca="1" si="0"/>
        <v>0.20179014291740055</v>
      </c>
      <c r="AB4">
        <f t="shared" ca="1" si="0"/>
        <v>0.20080998595247634</v>
      </c>
      <c r="AC4">
        <f t="shared" ca="1" si="0"/>
        <v>0.20123394552081358</v>
      </c>
    </row>
    <row r="5" spans="1:29" x14ac:dyDescent="0.25">
      <c r="A5" s="12" t="s">
        <v>194</v>
      </c>
      <c r="B5">
        <f>quadrupoles_hf!B14</f>
        <v>-14.4015</v>
      </c>
      <c r="C5">
        <f ca="1">(OFFSET('cbs_limit(energy)'!$C$41,(ROW('cbs_limit(energy)'!C44)-ROW('cbs_limit(energy)'!$C$41))*4,0)-OFFSET('cbs_limit(energy)'!$D$41,(ROW('cbs_limit(energy)'!D44)-ROW('cbs_limit(energy)'!$D$41))*4,0))/(2*'cbs_limit(energy)'!$L$6)*'cbs_limit(energy)'!$L$3</f>
        <v>-14.363614551379564</v>
      </c>
      <c r="D5">
        <f ca="1">(OFFSET('cbs_limit(energy)'!$C$22,(ROW('cbs_limit(energy)'!C25)-ROW('cbs_limit(energy)'!$C$22))*4,0)-OFFSET('cbs_limit(energy)'!$D$22,(ROW('cbs_limit(energy)'!D25)-ROW('cbs_limit(energy)'!$D$22))*4,0))/(2*'cbs_limit(energy)'!$L$6)*'cbs_limit(energy)'!$L$3</f>
        <v>-14.302953532953779</v>
      </c>
      <c r="E5">
        <f ca="1">(OFFSET('cbs_limit(energy)'!$C$3,(ROW('cbs_limit(energy)'!C6)-ROW('cbs_limit(energy)'!$C$3))*4,0)-OFFSET('cbs_limit(energy)'!$D$3,(ROW('cbs_limit(energy)'!D6)-ROW('cbs_limit(energy)'!$D$3))*4,0))/(2*'cbs_limit(energy)'!$L$6)*'cbs_limit(energy)'!$L$3</f>
        <v>-14.315260590848791</v>
      </c>
      <c r="H5">
        <f>quadrupoles_hf!B16</f>
        <v>-14.4047</v>
      </c>
      <c r="I5">
        <f ca="1">(OFFSET('cbs_limit(energy)'!$C$43,(ROW('cbs_limit(energy)'!C46)-ROW('cbs_limit(energy)'!$C$43))*4,0)-OFFSET('cbs_limit(energy)'!$D$43,(ROW('cbs_limit(energy)'!D46)-ROW('cbs_limit(energy)'!$D$43))*4,0))/(2*'cbs_limit(energy)'!$L$6)*'cbs_limit(energy)'!$L$3</f>
        <v>-14.382714029339395</v>
      </c>
      <c r="J5">
        <f ca="1">(OFFSET('cbs_limit(energy)'!$C$24,(ROW('cbs_limit(energy)'!C27)-ROW('cbs_limit(energy)'!$C$24))*4,0)-OFFSET('cbs_limit(energy)'!$D$24,(ROW('cbs_limit(energy)'!D27)-ROW('cbs_limit(energy)'!$D$24))*4,0))/(2*'cbs_limit(energy)'!$L$6)*'cbs_limit(energy)'!$L$3</f>
        <v>-14.320640725587662</v>
      </c>
      <c r="K5">
        <f ca="1">(OFFSET('cbs_limit(energy)'!$C$5,(ROW('cbs_limit(energy)'!C8)-ROW('cbs_limit(energy)'!$C$5))*4,0)-OFFSET('cbs_limit(energy)'!$D$5,(ROW('cbs_limit(energy)'!D8)-ROW('cbs_limit(energy)'!$D$5))*4,0))/(2*'cbs_limit(energy)'!$L$6)*'cbs_limit(energy)'!$L$3</f>
        <v>-14.333822055296505</v>
      </c>
      <c r="N5">
        <f>quadrupoles_hf!B17</f>
        <v>-14.4267</v>
      </c>
      <c r="O5">
        <f ca="1">(OFFSET('cbs_limit(energy)'!$C$44,(ROW('cbs_limit(energy)'!C47)-ROW('cbs_limit(energy)'!$C$44))*4,0)-OFFSET('cbs_limit(energy)'!$D$44,(ROW('cbs_limit(energy)'!D47)-ROW('cbs_limit(energy)'!$D$44))*4,0))/(2*'cbs_limit(energy)'!$L$6)*'cbs_limit(energy)'!$L$3</f>
        <v>-14.441828259347915</v>
      </c>
      <c r="P5">
        <f ca="1">(OFFSET('cbs_limit(energy)'!$C$25,(ROW('cbs_limit(energy)'!C28)-ROW('cbs_limit(energy)'!$C$25))*4,0)-OFFSET('cbs_limit(energy)'!$D$25,(ROW('cbs_limit(energy)'!D28)-ROW('cbs_limit(energy)'!$D$25))*4,0))/(2*'cbs_limit(energy)'!$L$6)*'cbs_limit(energy)'!$L$3</f>
        <v>-14.382310519300878</v>
      </c>
      <c r="Q5">
        <f ca="1">(OFFSET('cbs_limit(energy)'!$C$6,(ROW('cbs_limit(energy)'!C9)-ROW('cbs_limit(energy)'!$C$6))*4,0)-OFFSET('cbs_limit(energy)'!$D$6,(ROW('cbs_limit(energy)'!D9)-ROW('cbs_limit(energy)'!$D$6))*4,0))/(2*'cbs_limit(energy)'!$L$6)*'cbs_limit(energy)'!$L$3</f>
        <v>-14.397576651321383</v>
      </c>
      <c r="T5">
        <f t="shared" si="1"/>
        <v>-14.4015</v>
      </c>
      <c r="U5">
        <f t="shared" ca="1" si="2"/>
        <v>-14.346933131880725</v>
      </c>
      <c r="V5">
        <f t="shared" ca="1" si="3"/>
        <v>-14.287753855436263</v>
      </c>
      <c r="W5">
        <f t="shared" ca="1" si="4"/>
        <v>-14.299143644542992</v>
      </c>
      <c r="Z5">
        <f t="shared" si="5"/>
        <v>0</v>
      </c>
      <c r="AA5">
        <f t="shared" ca="1" si="0"/>
        <v>1.1613664122751895E-3</v>
      </c>
      <c r="AB5">
        <f t="shared" ca="1" si="0"/>
        <v>1.0626950218706158E-3</v>
      </c>
      <c r="AC5">
        <f t="shared" ca="1" si="0"/>
        <v>1.1258576959542997E-3</v>
      </c>
    </row>
    <row r="9" spans="1:29" x14ac:dyDescent="0.25">
      <c r="A9" t="s">
        <v>71</v>
      </c>
    </row>
    <row r="10" spans="1:29" x14ac:dyDescent="0.25">
      <c r="A10" s="11" t="s">
        <v>192</v>
      </c>
      <c r="B10">
        <f ca="1">OFFSET(quadrupoles_hf!$D$2, (ROW([1]quadrpoles_hf!D2)-ROW(dipoles_hf!$D$2))*4,0)</f>
        <v>-5.6852</v>
      </c>
    </row>
    <row r="11" spans="1:29" x14ac:dyDescent="0.25">
      <c r="A11" s="11" t="s">
        <v>193</v>
      </c>
      <c r="B11">
        <f ca="1">OFFSET(quadrupoles_hf!$D$2, (ROW([1]quadrpoles_hf!D3)-ROW(dipoles_hf!$D$2))*4,0)</f>
        <v>-6.2690000000000001</v>
      </c>
    </row>
    <row r="12" spans="1:29" x14ac:dyDescent="0.25">
      <c r="A12" s="11" t="s">
        <v>195</v>
      </c>
      <c r="B12">
        <f ca="1">OFFSET(quadrupoles_hf!$D$2, (ROW([1]quadrpoles_hf!D4)-ROW(dipoles_hf!$D$2))*4,0)</f>
        <v>-6.7119</v>
      </c>
    </row>
    <row r="13" spans="1:29" x14ac:dyDescent="0.25">
      <c r="A13" s="11" t="s">
        <v>194</v>
      </c>
      <c r="B13">
        <f ca="1">OFFSET(quadrupoles_hf!$D$2, (ROW([1]quadrpoles_hf!D5)-ROW(dipoles_hf!$D$2))*4,0)</f>
        <v>-14.4015</v>
      </c>
    </row>
    <row r="15" spans="1:29" x14ac:dyDescent="0.25">
      <c r="A15" s="9" t="s">
        <v>224</v>
      </c>
      <c r="G15" t="s">
        <v>225</v>
      </c>
      <c r="M15" t="s">
        <v>226</v>
      </c>
      <c r="S15" t="s">
        <v>227</v>
      </c>
      <c r="Y15" t="s">
        <v>223</v>
      </c>
      <c r="Z15" t="s">
        <v>192</v>
      </c>
      <c r="AA15" t="s">
        <v>191</v>
      </c>
      <c r="AB15" t="s">
        <v>189</v>
      </c>
      <c r="AC15" t="s">
        <v>190</v>
      </c>
    </row>
    <row r="16" spans="1:29" x14ac:dyDescent="0.25">
      <c r="A16" s="12" t="s">
        <v>192</v>
      </c>
      <c r="B16">
        <f ca="1">OFFSET(quadrupoles_hf!$G$2, (ROW([1]quadrpoles_hf!G2)-ROW(dipoles_hf!$G$2))*4,0)</f>
        <v>-3.1779000000000002</v>
      </c>
      <c r="C16">
        <f ca="1">(OFFSET('cbs_limit(energy)'!$E$41,(ROW('cbs_limit(energy)'!E41)-ROW('cbs_limit(energy)'!$E$41))*4,0)-OFFSET('cbs_limit(energy)'!$F$41,(ROW('cbs_limit(energy)'!F41)-ROW('cbs_limit(energy)'!$F$41))*4,0))/(2*'cbs_limit(energy)'!$L$6)*'cbs_limit(energy)'!$L$3</f>
        <v>-3.3654759948091799</v>
      </c>
      <c r="D16">
        <f ca="1">(OFFSET('cbs_limit(energy)'!$E$22,(ROW('cbs_limit(energy)'!E22)-ROW('cbs_limit(energy)'!$E$22))*4,0)-OFFSET('cbs_limit(energy)'!$F$22,(ROW('cbs_limit(energy)'!F22)-ROW('cbs_limit(energy)'!$F$22))*4,0))/(2*'cbs_limit(energy)'!$L$6)*'cbs_limit(energy)'!$L$3</f>
        <v>-3.3206191220115859</v>
      </c>
      <c r="E16">
        <f ca="1">(OFFSET('cbs_limit(energy)'!$E$3,(ROW('cbs_limit(energy)'!E3)-ROW('cbs_limit(energy)'!$E$3))*4,0)-OFFSET('cbs_limit(energy)'!$F$3,(ROW('cbs_limit(energy)'!F3)-ROW('cbs_limit(energy)'!$F$3))*4,0))/(2*'cbs_limit(energy)'!$L$6)*'cbs_limit(energy)'!$L$3</f>
        <v>-3.3514876447365936</v>
      </c>
      <c r="H16">
        <f ca="1">OFFSET(quadrupoles_hf!$G$4, (ROW([1]quadrpoles_hf!G4)-ROW(dipoles_hf!$G$4))*4,0)</f>
        <v>-3.1793</v>
      </c>
      <c r="I16">
        <f ca="1">(OFFSET('cbs_limit(energy)'!$E$43,(ROW('cbs_limit(energy)'!E43)-ROW('cbs_limit(energy)'!$E$43))*4,0)-OFFSET('cbs_limit(energy)'!$F$43,(ROW('cbs_limit(energy)'!F43)-ROW('cbs_limit(energy)'!$F$43))*4,0))/(2*'cbs_limit(energy)'!$L$6)*'cbs_limit(energy)'!$L$3</f>
        <v>-3.3739497070515756</v>
      </c>
      <c r="J16">
        <f ca="1">(OFFSET('cbs_limit(energy)'!$E$24,(ROW('cbs_limit(energy)'!E24)-ROW('cbs_limit(energy)'!$E$24))*4,0)-OFFSET('cbs_limit(energy)'!$F$24,(ROW('cbs_limit(energy)'!F24)-ROW('cbs_limit(energy)'!$F$24))*4,0))/(2*'cbs_limit(energy)'!$L$6)*'cbs_limit(energy)'!$L$3</f>
        <v>-3.3295635958381569</v>
      </c>
      <c r="K16">
        <f ca="1">(OFFSET('cbs_limit(energy)'!$E$5,(ROW('cbs_limit(energy)'!E5)-ROW('cbs_limit(energy)'!$E$5))*4,0)-OFFSET('cbs_limit(energy)'!$F$5,(ROW('cbs_limit(energy)'!F5)-ROW('cbs_limit(energy)'!$F$5))*4,0))/(2*'cbs_limit(energy)'!$L$6)*'cbs_limit(energy)'!$L$3</f>
        <v>-3.3604993703955346</v>
      </c>
      <c r="N16">
        <f ca="1">OFFSET(quadrupoles_hf!$G$5, (ROW([1]quadrpoles_hf!G5)-ROW(dipoles_hf!$G$5))*4,0)</f>
        <v>-3.1858</v>
      </c>
      <c r="O16">
        <f ca="1">(OFFSET('cbs_limit(energy)'!$E$44,(ROW('cbs_limit(energy)'!E44)-ROW('cbs_limit(energy)'!$E$44))*4,0)-OFFSET('cbs_limit(energy)'!$F$44,(ROW('cbs_limit(energy)'!F44)-ROW('cbs_limit(energy)'!$F$44))*4,0))/(2*'cbs_limit(energy)'!$L$6)*'cbs_limit(energy)'!$L$3</f>
        <v>-3.3986310747695372</v>
      </c>
      <c r="P16">
        <f ca="1">(OFFSET('cbs_limit(energy)'!$E$25,(ROW('cbs_limit(energy)'!E25)-ROW('cbs_limit(energy)'!$E$25))*4,0)-OFFSET('cbs_limit(energy)'!$F$25,(ROW('cbs_limit(energy)'!F25)-ROW('cbs_limit(energy)'!$F$25))*4,0))/(2*'cbs_limit(energy)'!$L$6)*'cbs_limit(energy)'!$L$3</f>
        <v>-3.3593560917300742</v>
      </c>
      <c r="Q16">
        <f ca="1">(OFFSET('cbs_limit(energy)'!$E$6,(ROW('cbs_limit(energy)'!E6)-ROW('cbs_limit(energy)'!$E$6))*4,0)-OFFSET('cbs_limit(energy)'!$F$6,(ROW('cbs_limit(energy)'!F6)-ROW('cbs_limit(energy)'!$F$6))*4,0))/(2*'cbs_limit(energy)'!$L$6)*'cbs_limit(energy)'!$L$3</f>
        <v>-3.3903591178331109</v>
      </c>
      <c r="T16">
        <f ca="1">B16</f>
        <v>-3.1779000000000002</v>
      </c>
      <c r="U16">
        <f ca="1">((C16-$B16)*5^3-(I16-$H16)*4^3)/(5^3-4^3)+$T16</f>
        <v>-3.3580543950794532</v>
      </c>
      <c r="V16">
        <f ca="1">((D16-$B16)*5^3-(J16-$H16)*4^3)/(5^3-4^3)+$T16</f>
        <v>-3.3127036084886261</v>
      </c>
      <c r="W16">
        <f ca="1">((E16-$B16)*5^3-(K16-$H16)*4^3)/(5^3-4^3)+$T16</f>
        <v>-3.3435015719140977</v>
      </c>
      <c r="Z16">
        <f ca="1">ABS(T16-B16)/ABS(B16)</f>
        <v>0</v>
      </c>
      <c r="AA16">
        <f t="shared" ref="AA16:AC19" ca="1" si="6">ABS(U16-C16)/ABS(C16)</f>
        <v>2.2052154706120458E-3</v>
      </c>
      <c r="AB16">
        <f t="shared" ca="1" si="6"/>
        <v>2.3837462931203977E-3</v>
      </c>
      <c r="AC16">
        <f t="shared" ca="1" si="6"/>
        <v>2.3828441781779315E-3</v>
      </c>
    </row>
    <row r="17" spans="1:29" x14ac:dyDescent="0.25">
      <c r="A17" s="12" t="s">
        <v>193</v>
      </c>
      <c r="B17">
        <f ca="1">OFFSET(quadrupoles_hf!$G$2, (ROW([1]quadrpoles_hf!G3)-ROW(dipoles_hf!$G$2))*4,0)</f>
        <v>-5.4577999999999998</v>
      </c>
      <c r="C17">
        <f ca="1">(OFFSET('cbs_limit(energy)'!$E$41,(ROW('cbs_limit(energy)'!E42)-ROW('cbs_limit(energy)'!$E$41))*4,0)-OFFSET('cbs_limit(energy)'!$F$41,(ROW('cbs_limit(energy)'!F42)-ROW('cbs_limit(energy)'!$F$41))*4,0))/(2*'cbs_limit(energy)'!$L$6)*'cbs_limit(energy)'!$L$3</f>
        <v>-5.4706554418986073</v>
      </c>
      <c r="D17">
        <f ca="1">(OFFSET('cbs_limit(energy)'!$E$22,(ROW('cbs_limit(energy)'!E23)-ROW('cbs_limit(energy)'!$E$22))*4,0)-OFFSET('cbs_limit(energy)'!$F$22,(ROW('cbs_limit(energy)'!F23)-ROW('cbs_limit(energy)'!$F$22))*4,0))/(2*'cbs_limit(energy)'!$L$6)*'cbs_limit(energy)'!$L$3</f>
        <v>-5.4826262415396867</v>
      </c>
      <c r="E17">
        <f ca="1">(OFFSET('cbs_limit(energy)'!$E$3,(ROW('cbs_limit(energy)'!E4)-ROW('cbs_limit(energy)'!$E$3))*4,0)-OFFSET('cbs_limit(energy)'!$F$3,(ROW('cbs_limit(energy)'!F4)-ROW('cbs_limit(energy)'!$F$3))*4,0))/(2*'cbs_limit(energy)'!$L$6)*'cbs_limit(energy)'!$L$3</f>
        <v>-5.5065678408696304</v>
      </c>
      <c r="H17">
        <f ca="1">OFFSET(quadrupoles_hf!$G$4, (ROW([1]quadrpoles_hf!G5)-ROW(dipoles_hf!$G$4))*4,0)</f>
        <v>-5.4585999999999997</v>
      </c>
      <c r="I17">
        <f ca="1">(OFFSET('cbs_limit(energy)'!$E$43,(ROW('cbs_limit(energy)'!E44)-ROW('cbs_limit(energy)'!$E$43))*4,0)-OFFSET('cbs_limit(energy)'!$F$43,(ROW('cbs_limit(energy)'!F44)-ROW('cbs_limit(energy)'!$F$43))*4,0))/(2*'cbs_limit(energy)'!$L$6)*'cbs_limit(energy)'!$L$3</f>
        <v>-5.4828952483435298</v>
      </c>
      <c r="J17">
        <f ca="1">(OFFSET('cbs_limit(energy)'!$E$24,(ROW('cbs_limit(energy)'!E25)-ROW('cbs_limit(energy)'!$E$24))*4,0)-OFFSET('cbs_limit(energy)'!$F$24,(ROW('cbs_limit(energy)'!F25)-ROW('cbs_limit(energy)'!$F$24))*4,0))/(2*'cbs_limit(energy)'!$L$6)*'cbs_limit(energy)'!$L$3</f>
        <v>-5.493252007591618</v>
      </c>
      <c r="K17">
        <f ca="1">(OFFSET('cbs_limit(energy)'!$E$5,(ROW('cbs_limit(energy)'!E6)-ROW('cbs_limit(energy)'!$E$5))*4,0)-OFFSET('cbs_limit(energy)'!$F$5,(ROW('cbs_limit(energy)'!F6)-ROW('cbs_limit(energy)'!$F$5))*4,0))/(2*'cbs_limit(energy)'!$L$6)*'cbs_limit(energy)'!$L$3</f>
        <v>-5.5175298653188491</v>
      </c>
      <c r="N17">
        <f ca="1">OFFSET(quadrupoles_hf!$G$5, (ROW([1]quadrpoles_hf!G6)-ROW(dipoles_hf!$G$5))*4,0)</f>
        <v>-5.4640000000000004</v>
      </c>
      <c r="O17">
        <f ca="1">(OFFSET('cbs_limit(energy)'!$E$44,(ROW('cbs_limit(energy)'!E45)-ROW('cbs_limit(energy)'!$E$44))*4,0)-OFFSET('cbs_limit(energy)'!$F$44,(ROW('cbs_limit(energy)'!F45)-ROW('cbs_limit(energy)'!$F$44))*4,0))/(2*'cbs_limit(energy)'!$L$6)*'cbs_limit(energy)'!$L$3</f>
        <v>-5.5167900967874752</v>
      </c>
      <c r="P17">
        <f ca="1">(OFFSET('cbs_limit(energy)'!$E$25,(ROW('cbs_limit(energy)'!E26)-ROW('cbs_limit(energy)'!$E$25))*4,0)-OFFSET('cbs_limit(energy)'!$F$25,(ROW('cbs_limit(energy)'!F26)-ROW('cbs_limit(energy)'!$F$25))*4,0))/(2*'cbs_limit(energy)'!$L$6)*'cbs_limit(energy)'!$L$3</f>
        <v>-5.5286263930505255</v>
      </c>
      <c r="Q17">
        <f ca="1">(OFFSET('cbs_limit(energy)'!$E$6,(ROW('cbs_limit(energy)'!E7)-ROW('cbs_limit(energy)'!$E$6))*4,0)-OFFSET('cbs_limit(energy)'!$F$6,(ROW('cbs_limit(energy)'!F7)-ROW('cbs_limit(energy)'!$F$6))*4,0))/(2*'cbs_limit(energy)'!$L$6)*'cbs_limit(energy)'!$L$3</f>
        <v>-5.5536440193091297</v>
      </c>
      <c r="T17">
        <f t="shared" ref="T17:T19" ca="1" si="7">B17</f>
        <v>-5.4577999999999998</v>
      </c>
      <c r="U17">
        <f t="shared" ref="U17:U19" ca="1" si="8">((C17-$B17)*5^3-(I17-$H17)*4^3)/(5^3-4^3)+$T17</f>
        <v>-5.4586530220219673</v>
      </c>
      <c r="V17">
        <f t="shared" ref="V17:V19" ca="1" si="9">((D17-$B17)*5^3-(J17-$H17)*4^3)/(5^3-4^3)+$T17</f>
        <v>-5.4723172410917584</v>
      </c>
      <c r="W17">
        <f t="shared" ref="W17:W19" ca="1" si="10">((E17-$B17)*5^3-(K17-$H17)*4^3)/(5^3-4^3)+$T17</f>
        <v>-5.4959060447261878</v>
      </c>
      <c r="Z17">
        <f t="shared" ref="Z17:Z19" ca="1" si="11">ABS(T17-B17)/ABS(B17)</f>
        <v>0</v>
      </c>
      <c r="AA17">
        <f t="shared" ca="1" si="6"/>
        <v>2.193963777121831E-3</v>
      </c>
      <c r="AB17">
        <f t="shared" ca="1" si="6"/>
        <v>1.8803033425516134E-3</v>
      </c>
      <c r="AC17">
        <f t="shared" ca="1" si="6"/>
        <v>1.936196275347942E-3</v>
      </c>
    </row>
    <row r="18" spans="1:29" x14ac:dyDescent="0.25">
      <c r="A18" s="12" t="s">
        <v>195</v>
      </c>
      <c r="B18">
        <f ca="1">OFFSET(quadrupoles_hf!$G$2, (ROW([1]quadrpoles_hf!G4)-ROW(dipoles_hf!$G$2))*4,0)</f>
        <v>-7.5533000000000001</v>
      </c>
      <c r="C18">
        <f ca="1">(OFFSET('cbs_limit(energy)'!$E$41,(ROW('cbs_limit(energy)'!E43)-ROW('cbs_limit(energy)'!$E$41))*4,0)-OFFSET('cbs_limit(energy)'!$F$41,(ROW('cbs_limit(energy)'!F43)-ROW('cbs_limit(energy)'!$F$41))*4,0))/(2*'cbs_limit(energy)'!$L$6)*'cbs_limit(energy)'!$L$3</f>
        <v>-7.5290949689936069</v>
      </c>
      <c r="D18">
        <f ca="1">(OFFSET('cbs_limit(energy)'!$E$22,(ROW('cbs_limit(energy)'!E24)-ROW('cbs_limit(energy)'!$E$22))*4,0)-OFFSET('cbs_limit(energy)'!$F$22,(ROW('cbs_limit(energy)'!F24)-ROW('cbs_limit(energy)'!$F$22))*4,0))/(2*'cbs_limit(energy)'!$L$6)*'cbs_limit(energy)'!$L$3</f>
        <v>-7.49251005313244</v>
      </c>
      <c r="E18">
        <f ca="1">(OFFSET('cbs_limit(energy)'!$E$3,(ROW('cbs_limit(energy)'!E5)-ROW('cbs_limit(energy)'!$E$3))*4,0)-OFFSET('cbs_limit(energy)'!$F$3,(ROW('cbs_limit(energy)'!F5)-ROW('cbs_limit(energy)'!$F$3))*4,0))/(2*'cbs_limit(energy)'!$L$6)*'cbs_limit(energy)'!$L$3</f>
        <v>-7.4911650194477213</v>
      </c>
      <c r="H18">
        <f ca="1">OFFSET(quadrupoles_hf!$G$4, (ROW([1]quadrpoles_hf!G6)-ROW(dipoles_hf!$G$4))*4,0)</f>
        <v>-7.5559000000000003</v>
      </c>
      <c r="I18">
        <f ca="1">(OFFSET('cbs_limit(energy)'!$E$43,(ROW('cbs_limit(energy)'!E45)-ROW('cbs_limit(energy)'!$E$43))*4,0)-OFFSET('cbs_limit(energy)'!$F$43,(ROW('cbs_limit(energy)'!F45)-ROW('cbs_limit(energy)'!$F$43))*4,0))/(2*'cbs_limit(energy)'!$L$6)*'cbs_limit(energy)'!$L$3</f>
        <v>-7.5344078519956801</v>
      </c>
      <c r="J18">
        <f ca="1">(OFFSET('cbs_limit(energy)'!$E$24,(ROW('cbs_limit(energy)'!E26)-ROW('cbs_limit(energy)'!$E$24))*4,0)-OFFSET('cbs_limit(energy)'!$F$24,(ROW('cbs_limit(energy)'!F26)-ROW('cbs_limit(energy)'!$F$24))*4,0))/(2*'cbs_limit(energy)'!$L$6)*'cbs_limit(energy)'!$L$3</f>
        <v>-7.4978901878713122</v>
      </c>
      <c r="K18">
        <f ca="1">(OFFSET('cbs_limit(energy)'!$E$5,(ROW('cbs_limit(energy)'!E7)-ROW('cbs_limit(energy)'!$E$5))*4,0)-OFFSET('cbs_limit(energy)'!$F$5,(ROW('cbs_limit(energy)'!F7)-ROW('cbs_limit(energy)'!$F$5))*4,0))/(2*'cbs_limit(energy)'!$L$6)*'cbs_limit(energy)'!$L$3</f>
        <v>-7.4966796575646235</v>
      </c>
      <c r="N18">
        <f ca="1">OFFSET(quadrupoles_hf!$G$5, (ROW([1]quadrpoles_hf!G7)-ROW(dipoles_hf!$G$5))*4,0)</f>
        <v>-7.5673000000000004</v>
      </c>
      <c r="O18">
        <f ca="1">(OFFSET('cbs_limit(energy)'!$E$44,(ROW('cbs_limit(energy)'!E46)-ROW('cbs_limit(energy)'!$E$44))*4,0)-OFFSET('cbs_limit(energy)'!$F$44,(ROW('cbs_limit(energy)'!F46)-ROW('cbs_limit(energy)'!$F$44))*4,0))/(2*'cbs_limit(energy)'!$L$6)*'cbs_limit(energy)'!$L$3</f>
        <v>-7.5519605413471051</v>
      </c>
      <c r="P18">
        <f ca="1">(OFFSET('cbs_limit(energy)'!$E$25,(ROW('cbs_limit(energy)'!E27)-ROW('cbs_limit(energy)'!$E$25))*4,0)-OFFSET('cbs_limit(energy)'!$F$25,(ROW('cbs_limit(energy)'!F27)-ROW('cbs_limit(energy)'!$F$25))*4,0))/(2*'cbs_limit(energy)'!$L$6)*'cbs_limit(energy)'!$L$3</f>
        <v>-7.5159136390936236</v>
      </c>
      <c r="Q18">
        <f ca="1">(OFFSET('cbs_limit(energy)'!$E$6,(ROW('cbs_limit(energy)'!E8)-ROW('cbs_limit(energy)'!$E$6))*4,0)-OFFSET('cbs_limit(energy)'!$F$6,(ROW('cbs_limit(energy)'!F8)-ROW('cbs_limit(energy)'!$F$6))*4,0))/(2*'cbs_limit(energy)'!$L$6)*'cbs_limit(energy)'!$L$3</f>
        <v>-7.5150393671842215</v>
      </c>
      <c r="T18">
        <f t="shared" ca="1" si="7"/>
        <v>-7.5533000000000001</v>
      </c>
      <c r="U18">
        <f t="shared" ca="1" si="8"/>
        <v>-7.5262486655160217</v>
      </c>
      <c r="V18">
        <f t="shared" ca="1" si="9"/>
        <v>-7.489593190455591</v>
      </c>
      <c r="W18">
        <f t="shared" ca="1" si="10"/>
        <v>-7.4881070384726112</v>
      </c>
      <c r="Z18">
        <f t="shared" ca="1" si="11"/>
        <v>0</v>
      </c>
      <c r="AA18">
        <f t="shared" ca="1" si="6"/>
        <v>3.7804058645917778E-4</v>
      </c>
      <c r="AB18">
        <f t="shared" ca="1" si="6"/>
        <v>3.8930380555572496E-4</v>
      </c>
      <c r="AC18">
        <f t="shared" ca="1" si="6"/>
        <v>4.0821166896888974E-4</v>
      </c>
    </row>
    <row r="19" spans="1:29" x14ac:dyDescent="0.25">
      <c r="A19" s="12" t="s">
        <v>194</v>
      </c>
      <c r="B19">
        <f ca="1">OFFSET(quadrupoles_hf!$G$2, (ROW([1]quadrpoles_hf!G5)-ROW(dipoles_hf!$G$2))*4,0)</f>
        <v>-15.4878</v>
      </c>
      <c r="C19">
        <f ca="1">(OFFSET('cbs_limit(energy)'!$E$41,(ROW('cbs_limit(energy)'!E44)-ROW('cbs_limit(energy)'!$E$41))*4,0)-OFFSET('cbs_limit(energy)'!$F$41,(ROW('cbs_limit(energy)'!F44)-ROW('cbs_limit(energy)'!$F$41))*4,0))/(2*'cbs_limit(energy)'!$L$6)*'cbs_limit(energy)'!$L$3</f>
        <v>-15.049447219275471</v>
      </c>
      <c r="D19">
        <f ca="1">(OFFSET('cbs_limit(energy)'!$E$22,(ROW('cbs_limit(energy)'!E25)-ROW('cbs_limit(energy)'!$E$22))*4,0)-OFFSET('cbs_limit(energy)'!$F$22,(ROW('cbs_limit(energy)'!F25)-ROW('cbs_limit(energy)'!$F$22))*4,0))/(2*'cbs_limit(energy)'!$L$6)*'cbs_limit(energy)'!$L$3</f>
        <v>-15.020932505427043</v>
      </c>
      <c r="E19">
        <f ca="1">(OFFSET('cbs_limit(energy)'!$E$3,(ROW('cbs_limit(energy)'!E6)-ROW('cbs_limit(energy)'!$E$3))*4,0)-OFFSET('cbs_limit(energy)'!$F$3,(ROW('cbs_limit(energy)'!F6)-ROW('cbs_limit(energy)'!$F$3))*4,0))/(2*'cbs_limit(energy)'!$L$6)*'cbs_limit(energy)'!$L$3</f>
        <v>-14.995914878833943</v>
      </c>
      <c r="H19">
        <f ca="1">OFFSET(quadrupoles_hf!$G$4, (ROW([1]quadrpoles_hf!G7)-ROW(dipoles_hf!$G$4))*4,0)</f>
        <v>-15.489100000000001</v>
      </c>
      <c r="I19">
        <f ca="1">(OFFSET('cbs_limit(energy)'!$E$43,(ROW('cbs_limit(energy)'!E46)-ROW('cbs_limit(energy)'!$E$43))*4,0)-OFFSET('cbs_limit(energy)'!$F$43,(ROW('cbs_limit(energy)'!F46)-ROW('cbs_limit(energy)'!$F$43))*4,0))/(2*'cbs_limit(energy)'!$L$6)*'cbs_limit(energy)'!$L$3</f>
        <v>-15.064915106506376</v>
      </c>
      <c r="J19">
        <f ca="1">(OFFSET('cbs_limit(energy)'!$E$24,(ROW('cbs_limit(energy)'!E27)-ROW('cbs_limit(energy)'!$E$24))*4,0)-OFFSET('cbs_limit(energy)'!$F$24,(ROW('cbs_limit(energy)'!F27)-ROW('cbs_limit(energy)'!$F$24))*4,0))/(2*'cbs_limit(energy)'!$L$6)*'cbs_limit(energy)'!$L$3</f>
        <v>-15.032634298073139</v>
      </c>
      <c r="K19">
        <f ca="1">(OFFSET('cbs_limit(energy)'!$E$5,(ROW('cbs_limit(energy)'!E8)-ROW('cbs_limit(energy)'!$E$5))*4,0)-OFFSET('cbs_limit(energy)'!$F$5,(ROW('cbs_limit(energy)'!F8)-ROW('cbs_limit(energy)'!$F$5))*4,0))/(2*'cbs_limit(energy)'!$L$6)*'cbs_limit(energy)'!$L$3</f>
        <v>-15.009566971082664</v>
      </c>
      <c r="N19">
        <f ca="1">OFFSET(quadrupoles_hf!$G$5, (ROW([1]quadrpoles_hf!G8)-ROW(dipoles_hf!$G$5))*4,0)</f>
        <v>-15.5055</v>
      </c>
      <c r="O19">
        <f ca="1">(OFFSET('cbs_limit(energy)'!$E$44,(ROW('cbs_limit(energy)'!E47)-ROW('cbs_limit(energy)'!$E$44))*4,0)-OFFSET('cbs_limit(energy)'!$F$44,(ROW('cbs_limit(energy)'!F47)-ROW('cbs_limit(energy)'!$F$44))*4,0))/(2*'cbs_limit(energy)'!$L$6)*'cbs_limit(energy)'!$L$3</f>
        <v>-15.117774929579909</v>
      </c>
      <c r="P19">
        <f ca="1">(OFFSET('cbs_limit(energy)'!$E$25,(ROW('cbs_limit(energy)'!E28)-ROW('cbs_limit(energy)'!$E$25))*4,0)-OFFSET('cbs_limit(energy)'!$F$25,(ROW('cbs_limit(energy)'!F28)-ROW('cbs_limit(energy)'!$F$25))*4,0))/(2*'cbs_limit(energy)'!$L$6)*'cbs_limit(energy)'!$L$3</f>
        <v>-15.072111036609712</v>
      </c>
      <c r="Q19">
        <f ca="1">(OFFSET('cbs_limit(energy)'!$E$6,(ROW('cbs_limit(energy)'!E9)-ROW('cbs_limit(energy)'!$E$6))*4,0)-OFFSET('cbs_limit(energy)'!$F$6,(ROW('cbs_limit(energy)'!F9)-ROW('cbs_limit(energy)'!$F$6))*4,0))/(2*'cbs_limit(energy)'!$L$6)*'cbs_limit(energy)'!$L$3</f>
        <v>-15.054558347067147</v>
      </c>
      <c r="T19">
        <f t="shared" ca="1" si="7"/>
        <v>-15.4878</v>
      </c>
      <c r="U19">
        <f t="shared" ca="1" si="8"/>
        <v>-15.034582550705343</v>
      </c>
      <c r="V19">
        <f t="shared" ca="1" si="9"/>
        <v>-15.010019149208187</v>
      </c>
      <c r="W19">
        <f t="shared" ca="1" si="10"/>
        <v>-14.982955306638564</v>
      </c>
      <c r="Z19">
        <f t="shared" ca="1" si="11"/>
        <v>0</v>
      </c>
      <c r="AA19">
        <f t="shared" ca="1" si="6"/>
        <v>9.8772189792390211E-4</v>
      </c>
      <c r="AB19">
        <f t="shared" ca="1" si="6"/>
        <v>7.2654318997257431E-4</v>
      </c>
      <c r="AC19">
        <f t="shared" ca="1" si="6"/>
        <v>8.6420683900195489E-4</v>
      </c>
    </row>
    <row r="22" spans="1:29" x14ac:dyDescent="0.25">
      <c r="A22" t="s">
        <v>220</v>
      </c>
      <c r="B22" t="s">
        <v>192</v>
      </c>
      <c r="C22" t="s">
        <v>191</v>
      </c>
      <c r="D22" t="s">
        <v>189</v>
      </c>
      <c r="E22" t="s">
        <v>190</v>
      </c>
      <c r="G22" t="s">
        <v>217</v>
      </c>
      <c r="H22" t="s">
        <v>192</v>
      </c>
      <c r="I22" t="s">
        <v>191</v>
      </c>
      <c r="J22" t="s">
        <v>189</v>
      </c>
      <c r="K22" t="s">
        <v>190</v>
      </c>
      <c r="M22" t="s">
        <v>218</v>
      </c>
      <c r="N22" t="s">
        <v>192</v>
      </c>
      <c r="O22" t="s">
        <v>191</v>
      </c>
      <c r="P22" t="s">
        <v>189</v>
      </c>
      <c r="Q22" t="s">
        <v>190</v>
      </c>
      <c r="S22" t="s">
        <v>219</v>
      </c>
      <c r="T22" t="s">
        <v>192</v>
      </c>
      <c r="U22" t="s">
        <v>191</v>
      </c>
      <c r="V22" t="s">
        <v>189</v>
      </c>
      <c r="W22" t="s">
        <v>190</v>
      </c>
      <c r="Y22" t="s">
        <v>222</v>
      </c>
      <c r="Z22" t="s">
        <v>192</v>
      </c>
      <c r="AA22" t="s">
        <v>191</v>
      </c>
      <c r="AB22" t="s">
        <v>189</v>
      </c>
      <c r="AC22" t="s">
        <v>190</v>
      </c>
    </row>
    <row r="23" spans="1:29" x14ac:dyDescent="0.25">
      <c r="A23" s="11" t="s">
        <v>192</v>
      </c>
      <c r="B23">
        <f ca="1">OFFSET(dipoles_hf!$D$2, (ROW(dipoles_hf!D2)-ROW(dipoles_hf!$D$2))*4,0)</f>
        <v>1.9215</v>
      </c>
      <c r="C23">
        <f ca="1">(OFFSET('cbs_limit(energy)'!$G$41,(ROW('cbs_limit(energy)'!G41)-ROW('cbs_limit(energy)'!$G$41))*4,0)-OFFSET('cbs_limit(energy)'!$H$41,(ROW('cbs_limit(energy)'!H41)-ROW('cbs_limit(energy)'!$H$41))*4,0))/(2*'cbs_limit(energy)'!$L$6)*'cbs_limit(energy)'!$L$9</f>
        <v>1.8117567127498191</v>
      </c>
      <c r="D23">
        <f ca="1">(OFFSET('cbs_limit(energy)'!$G$22,(ROW('cbs_limit(energy)'!G22)-ROW('cbs_limit(energy)'!$G$22))*4,0)-OFFSET('cbs_limit(energy)'!$H$22,(ROW('cbs_limit(energy)'!H22)-ROW('cbs_limit(energy)'!$H$22))*4,0))/(2*'cbs_limit(energy)'!$L$6)*'cbs_limit(energy)'!$L$9</f>
        <v>1.8210340864442238</v>
      </c>
      <c r="E23">
        <f ca="1">(OFFSET('cbs_limit(energy)'!$G$3,(ROW('cbs_limit(energy)'!G3)-ROW('cbs_limit(energy)'!$G$3))*4,0)-OFFSET('cbs_limit(energy)'!$H$3,(ROW('cbs_limit(energy)'!H3)-ROW('cbs_limit(energy)'!$H$3))*4,0))/(2*'cbs_limit(energy)'!$L$6)*'cbs_limit(energy)'!$L$9</f>
        <v>1.8029876881628737</v>
      </c>
      <c r="H23">
        <f ca="1">OFFSET(dipoles_hf!$D$4, (ROW(dipoles_hf!D4)-ROW(dipoles_hf!$D$4))*4,0)</f>
        <v>1.9218999999999999</v>
      </c>
      <c r="I23">
        <f ca="1">(OFFSET('cbs_limit(energy)'!$G$43,(ROW('cbs_limit(energy)'!G43)-ROW('cbs_limit(energy)'!$G$43))*4,0)-OFFSET('cbs_limit(energy)'!$H$43,(ROW('cbs_limit(energy)'!H43)-ROW('cbs_limit(energy)'!$H$43))*4,0))/(2*'cbs_limit(energy)'!$L$6)*'cbs_limit(energy)'!$L$9</f>
        <v>1.8093420539024323</v>
      </c>
      <c r="J23">
        <f ca="1">(OFFSET('cbs_limit(energy)'!$G$24,(ROW('cbs_limit(energy)'!G24)-ROW('cbs_limit(energy)'!$G$24))*4,0)-OFFSET('cbs_limit(energy)'!$H$24,(ROW('cbs_limit(energy)'!H24)-ROW('cbs_limit(energy)'!$H$24))*4,0))/(2*'cbs_limit(energy)'!$L$6)*'cbs_limit(energy)'!$L$9</f>
        <v>1.8184923401845208</v>
      </c>
      <c r="K23">
        <f ca="1">(OFFSET('cbs_limit(energy)'!$G$5,(ROW('cbs_limit(energy)'!G5)-ROW('cbs_limit(energy)'!$G$5))*4,0)-OFFSET('cbs_limit(energy)'!$H$5,(ROW('cbs_limit(energy)'!H5)-ROW('cbs_limit(energy)'!$H$5))*4,0))/(2*'cbs_limit(energy)'!$L$6)*'cbs_limit(energy)'!$L$9</f>
        <v>1.8005730293154867</v>
      </c>
      <c r="N23">
        <f ca="1">OFFSET(dipoles_hf!$D$5, (ROW(dipoles_hf!D5)-ROW(dipoles_hf!$D$5))*4,0)</f>
        <v>1.9247000000000001</v>
      </c>
      <c r="O23">
        <f ca="1">(OFFSET('cbs_limit(energy)'!$G$44,(ROW('cbs_limit(energy)'!G44)-ROW('cbs_limit(energy)'!$G$44))*4,0)-OFFSET('cbs_limit(energy)'!$H$44,(ROW('cbs_limit(energy)'!H44)-ROW('cbs_limit(energy)'!$H$44))*4,0))/(2*'cbs_limit(energy)'!$L$6)*'cbs_limit(energy)'!$L$9</f>
        <v>1.8050210853151176</v>
      </c>
      <c r="P23">
        <f ca="1">(OFFSET('cbs_limit(energy)'!$G$25,(ROW('cbs_limit(energy)'!G25)-ROW('cbs_limit(energy)'!$G$25))*4,0)-OFFSET('cbs_limit(energy)'!$H$25,(ROW('cbs_limit(energy)'!H25)-ROW('cbs_limit(energy)'!$H$25))*4,0))/(2*'cbs_limit(energy)'!$L$6)*'cbs_limit(energy)'!$L$9</f>
        <v>1.8117567127498191</v>
      </c>
      <c r="Q23">
        <f ca="1">(OFFSET('cbs_limit(energy)'!$G$6,(ROW('cbs_limit(energy)'!G6)-ROW('cbs_limit(energy)'!$G$6))*4,0)-OFFSET('cbs_limit(energy)'!$H$6,(ROW('cbs_limit(energy)'!H6)-ROW('cbs_limit(energy)'!$H$6))*4,0))/(2*'cbs_limit(energy)'!$L$6)*'cbs_limit(energy)'!$L$9</f>
        <v>1.7939644891124995</v>
      </c>
      <c r="T23">
        <f ca="1">B23</f>
        <v>1.9215</v>
      </c>
      <c r="W23">
        <f ca="1">((E23-B23)*5^3-(K23-H23)*4^3)/(5^3-4^3)+T23</f>
        <v>1.8059407728552141</v>
      </c>
    </row>
    <row r="24" spans="1:29" x14ac:dyDescent="0.25">
      <c r="A24" s="11" t="s">
        <v>193</v>
      </c>
      <c r="B24">
        <f ca="1">OFFSET(dipoles_hf!$D$2, (ROW(dipoles_hf!D3)-ROW(dipoles_hf!$D$2))*4,0)</f>
        <v>1.6329</v>
      </c>
      <c r="C24">
        <f ca="1">(OFFSET('cbs_limit(energy)'!$G$41,(ROW('cbs_limit(energy)'!G42)-ROW('cbs_limit(energy)'!$G$41))*4,0)-OFFSET('cbs_limit(energy)'!$H$41,(ROW('cbs_limit(energy)'!H42)-ROW('cbs_limit(energy)'!$H$41))*4,0))/(2*'cbs_limit(energy)'!$L$6)*'cbs_limit(energy)'!$L$9</f>
        <v>1.5805848930575808</v>
      </c>
      <c r="D24">
        <f ca="1">(OFFSET('cbs_limit(energy)'!$G$22,(ROW('cbs_limit(energy)'!G23)-ROW('cbs_limit(energy)'!$G$22))*4,0)-OFFSET('cbs_limit(energy)'!$H$22,(ROW('cbs_limit(energy)'!H23)-ROW('cbs_limit(energy)'!$H$22))*4,0))/(2*'cbs_limit(energy)'!$L$6)*'cbs_limit(energy)'!$L$9</f>
        <v>1.5535152958161575</v>
      </c>
      <c r="E24">
        <f ca="1">(OFFSET('cbs_limit(energy)'!$G$3,(ROW('cbs_limit(energy)'!G4)-ROW('cbs_limit(energy)'!$G$3))*4,0)-OFFSET('cbs_limit(energy)'!$H$3,(ROW('cbs_limit(energy)'!H4)-ROW('cbs_limit(energy)'!$H$3))*4,0))/(2*'cbs_limit(energy)'!$L$6)*'cbs_limit(energy)'!$L$9</f>
        <v>1.5399169535344381</v>
      </c>
      <c r="H24">
        <f ca="1">OFFSET(dipoles_hf!$D$4, (ROW(dipoles_hf!D5)-ROW(dipoles_hf!$D$4))*4,0)</f>
        <v>1.6326000000000001</v>
      </c>
      <c r="I24">
        <f ca="1">(OFFSET('cbs_limit(energy)'!$G$43,(ROW('cbs_limit(energy)'!G44)-ROW('cbs_limit(energy)'!$G$43))*4,0)-OFFSET('cbs_limit(energy)'!$H$43,(ROW('cbs_limit(energy)'!H44)-ROW('cbs_limit(energy)'!$H$43))*4,0))/(2*'cbs_limit(energy)'!$L$6)*'cbs_limit(energy)'!$L$9</f>
        <v>1.5768993610803423</v>
      </c>
      <c r="J24">
        <f ca="1">(OFFSET('cbs_limit(energy)'!$G$24,(ROW('cbs_limit(energy)'!G25)-ROW('cbs_limit(energy)'!$G$24))*4,0)-OFFSET('cbs_limit(energy)'!$H$24,(ROW('cbs_limit(energy)'!H25)-ROW('cbs_limit(energy)'!$H$24))*4,0))/(2*'cbs_limit(energy)'!$L$6)*'cbs_limit(energy)'!$L$9</f>
        <v>1.5499568510706334</v>
      </c>
      <c r="K24">
        <f ca="1">(OFFSET('cbs_limit(energy)'!$G$5,(ROW('cbs_limit(energy)'!G6)-ROW('cbs_limit(energy)'!$G$5))*4,0)-OFFSET('cbs_limit(energy)'!$H$5,(ROW('cbs_limit(energy)'!H6)-ROW('cbs_limit(energy)'!$H$5))*4,0))/(2*'cbs_limit(energy)'!$L$6)*'cbs_limit(energy)'!$L$9</f>
        <v>1.5363585086986129</v>
      </c>
      <c r="N24">
        <f ca="1">OFFSET(dipoles_hf!$D$5, (ROW(dipoles_hf!D6)-ROW(dipoles_hf!$D$5))*4,0)</f>
        <v>1.6339999999999999</v>
      </c>
      <c r="O24">
        <f ca="1">(OFFSET('cbs_limit(energy)'!$G$44,(ROW('cbs_limit(energy)'!G45)-ROW('cbs_limit(energy)'!$G$44))*4,0)-OFFSET('cbs_limit(energy)'!$H$44,(ROW('cbs_limit(energy)'!H45)-ROW('cbs_limit(energy)'!$H$44))*4,0))/(2*'cbs_limit(energy)'!$L$6)*'cbs_limit(energy)'!$L$9</f>
        <v>1.5700366462333246</v>
      </c>
      <c r="P24">
        <f ca="1">(OFFSET('cbs_limit(energy)'!$G$25,(ROW('cbs_limit(energy)'!G26)-ROW('cbs_limit(energy)'!$G$25))*4,0)-OFFSET('cbs_limit(energy)'!$H$25,(ROW('cbs_limit(energy)'!H26)-ROW('cbs_limit(energy)'!$H$25))*4,0))/(2*'cbs_limit(energy)'!$L$6)*'cbs_limit(energy)'!$L$9</f>
        <v>1.5411878265739887</v>
      </c>
      <c r="Q24">
        <f ca="1">(OFFSET('cbs_limit(energy)'!$G$6,(ROW('cbs_limit(energy)'!G7)-ROW('cbs_limit(energy)'!$G$6))*4,0)-OFFSET('cbs_limit(energy)'!$H$6,(ROW('cbs_limit(energy)'!H7)-ROW('cbs_limit(energy)'!$H$6))*4,0))/(2*'cbs_limit(energy)'!$L$6)*'cbs_limit(energy)'!$L$9</f>
        <v>1.5275894842019684</v>
      </c>
      <c r="T24">
        <f t="shared" ref="T24:T26" ca="1" si="12">B24</f>
        <v>1.6329</v>
      </c>
      <c r="W24">
        <f t="shared" ref="W24:W26" ca="1" si="13">((E24-B24)*5^3-(K24-H24)*4^3)/(5^3-4^3)+T24</f>
        <v>1.5433356497556319</v>
      </c>
    </row>
    <row r="25" spans="1:29" x14ac:dyDescent="0.25">
      <c r="A25" s="11" t="s">
        <v>195</v>
      </c>
      <c r="B25">
        <f ca="1">OFFSET(dipoles_hf!$D$2, (ROW(dipoles_hf!D4)-ROW(dipoles_hf!$D$2))*4,0)</f>
        <v>-1.7572000000000001</v>
      </c>
      <c r="C25">
        <f ca="1">(OFFSET('cbs_limit(energy)'!$G$41,(ROW('cbs_limit(energy)'!G43)-ROW('cbs_limit(energy)'!$G$41))*4,0)-OFFSET('cbs_limit(energy)'!$H$41,(ROW('cbs_limit(energy)'!H43)-ROW('cbs_limit(energy)'!$H$41))*4,0))/(2*'cbs_limit(energy)'!$L$6)*'cbs_limit(energy)'!$L$9</f>
        <v>-1.6786962977068698</v>
      </c>
      <c r="D25">
        <f ca="1">(OFFSET('cbs_limit(energy)'!$G$22,(ROW('cbs_limit(energy)'!G24)-ROW('cbs_limit(energy)'!$G$22))*4,0)-OFFSET('cbs_limit(energy)'!$H$22,(ROW('cbs_limit(energy)'!H24)-ROW('cbs_limit(energy)'!$H$22))*4,0))/(2*'cbs_limit(energy)'!$L$6)*'cbs_limit(energy)'!$L$9</f>
        <v>-1.6680209633799965</v>
      </c>
      <c r="E25">
        <f ca="1">(OFFSET('cbs_limit(energy)'!$G$3,(ROW('cbs_limit(energy)'!G5)-ROW('cbs_limit(energy)'!$G$3))*4,0)-OFFSET('cbs_limit(energy)'!$H$3,(ROW('cbs_limit(energy)'!H5)-ROW('cbs_limit(energy)'!$H$3))*4,0))/(2*'cbs_limit(energy)'!$L$6)*'cbs_limit(energy)'!$L$9</f>
        <v>-1.6514996129628292</v>
      </c>
      <c r="H25">
        <f ca="1">OFFSET(dipoles_hf!$D$4, (ROW(dipoles_hf!D6)-ROW(dipoles_hf!$D$4))*4,0)</f>
        <v>-1.7574000000000001</v>
      </c>
      <c r="I25">
        <f ca="1">(OFFSET('cbs_limit(energy)'!$G$43,(ROW('cbs_limit(energy)'!G45)-ROW('cbs_limit(energy)'!$G$43))*4,0)-OFFSET('cbs_limit(energy)'!$H$43,(ROW('cbs_limit(energy)'!H45)-ROW('cbs_limit(energy)'!$H$43))*4,0))/(2*'cbs_limit(energy)'!$L$6)*'cbs_limit(energy)'!$L$9</f>
        <v>-1.6756462021591059</v>
      </c>
      <c r="J25">
        <f ca="1">(OFFSET('cbs_limit(energy)'!$G$24,(ROW('cbs_limit(energy)'!G26)-ROW('cbs_limit(energy)'!$G$24))*4,0)-OFFSET('cbs_limit(energy)'!$H$24,(ROW('cbs_limit(energy)'!H26)-ROW('cbs_limit(energy)'!$H$24))*4,0))/(2*'cbs_limit(energy)'!$L$6)*'cbs_limit(energy)'!$L$9</f>
        <v>-1.6649708680128343</v>
      </c>
      <c r="K25">
        <f ca="1">(OFFSET('cbs_limit(energy)'!$G$5,(ROW('cbs_limit(energy)'!G7)-ROW('cbs_limit(energy)'!$G$5))*4,0)-OFFSET('cbs_limit(energy)'!$H$5,(ROW('cbs_limit(energy)'!H7)-ROW('cbs_limit(energy)'!$H$5))*4,0))/(2*'cbs_limit(energy)'!$L$6)*'cbs_limit(energy)'!$L$9</f>
        <v>-1.648322430002749</v>
      </c>
      <c r="N25">
        <f ca="1">OFFSET(dipoles_hf!$D$5, (ROW(dipoles_hf!D7)-ROW(dipoles_hf!$D$5))*4,0)</f>
        <v>-1.7598</v>
      </c>
      <c r="O25">
        <f ca="1">(OFFSET('cbs_limit(energy)'!$G$44,(ROW('cbs_limit(energy)'!G46)-ROW('cbs_limit(energy)'!$G$44))*4,0)-OFFSET('cbs_limit(energy)'!$H$44,(ROW('cbs_limit(energy)'!H46)-ROW('cbs_limit(energy)'!$H$44))*4,0))/(2*'cbs_limit(energy)'!$L$6)*'cbs_limit(energy)'!$L$9</f>
        <v>-1.6696730984758938</v>
      </c>
      <c r="P25">
        <f ca="1">(OFFSET('cbs_limit(energy)'!$G$25,(ROW('cbs_limit(energy)'!G27)-ROW('cbs_limit(energy)'!$G$25))*4,0)-OFFSET('cbs_limit(energy)'!$H$25,(ROW('cbs_limit(energy)'!H27)-ROW('cbs_limit(energy)'!$H$25))*4,0))/(2*'cbs_limit(energy)'!$L$6)*'cbs_limit(energy)'!$L$9</f>
        <v>-1.6568372799456641</v>
      </c>
      <c r="Q25">
        <f ca="1">(OFFSET('cbs_limit(energy)'!$G$6,(ROW('cbs_limit(energy)'!G8)-ROW('cbs_limit(energy)'!$G$6))*4,0)-OFFSET('cbs_limit(energy)'!$H$6,(ROW('cbs_limit(energy)'!H8)-ROW('cbs_limit(energy)'!$H$6))*4,0))/(2*'cbs_limit(energy)'!$L$6)*'cbs_limit(energy)'!$L$9</f>
        <v>-1.6401888422967825</v>
      </c>
      <c r="T25">
        <f t="shared" ca="1" si="12"/>
        <v>-1.7572000000000001</v>
      </c>
      <c r="W25">
        <f t="shared" ca="1" si="13"/>
        <v>-1.6550428868881593</v>
      </c>
    </row>
    <row r="26" spans="1:29" x14ac:dyDescent="0.25">
      <c r="A26" s="11" t="s">
        <v>194</v>
      </c>
      <c r="B26">
        <f ca="1">OFFSET(dipoles_hf!$D$2, (ROW(dipoles_hf!D5)-ROW(dipoles_hf!$D$2))*4,0)</f>
        <v>-0.51290000000000002</v>
      </c>
      <c r="C26">
        <f ca="1">(OFFSET('cbs_limit(energy)'!$G$41,(ROW('cbs_limit(energy)'!G44)-ROW('cbs_limit(energy)'!$G$41))*4,0)-OFFSET('cbs_limit(energy)'!$H$41,(ROW('cbs_limit(energy)'!H44)-ROW('cbs_limit(energy)'!$H$41))*4,0))/(2*'cbs_limit(energy)'!$L$6)*'cbs_limit(energy)'!$L$9</f>
        <v>-0.44633063807476847</v>
      </c>
      <c r="D26">
        <f ca="1">(OFFSET('cbs_limit(energy)'!$G$22,(ROW('cbs_limit(energy)'!G25)-ROW('cbs_limit(energy)'!$G$22))*4,0)-OFFSET('cbs_limit(energy)'!$H$22,(ROW('cbs_limit(energy)'!H25)-ROW('cbs_limit(energy)'!$H$22))*4,0))/(2*'cbs_limit(energy)'!$L$6)*'cbs_limit(energy)'!$L$9</f>
        <v>-0.4416284074311071</v>
      </c>
      <c r="E26">
        <f ca="1">(OFFSET('cbs_limit(energy)'!$G$3,(ROW('cbs_limit(energy)'!G6)-ROW('cbs_limit(energy)'!$G$3))*4,0)-OFFSET('cbs_limit(energy)'!$H$3,(ROW('cbs_limit(energy)'!H6)-ROW('cbs_limit(energy)'!$H$3))*4,0))/(2*'cbs_limit(energy)'!$L$6)*'cbs_limit(energy)'!$L$9</f>
        <v>-0.4331135573075901</v>
      </c>
      <c r="H26">
        <f ca="1">OFFSET(dipoles_hf!$D$4, (ROW(dipoles_hf!D7)-ROW(dipoles_hf!$D$4))*4,0)</f>
        <v>-0.51300000000000001</v>
      </c>
      <c r="I26">
        <f ca="1">(OFFSET('cbs_limit(energy)'!$G$43,(ROW('cbs_limit(energy)'!G46)-ROW('cbs_limit(energy)'!$G$43))*4,0)-OFFSET('cbs_limit(energy)'!$H$43,(ROW('cbs_limit(energy)'!H46)-ROW('cbs_limit(energy)'!$H$43))*4,0))/(2*'cbs_limit(energy)'!$L$6)*'cbs_limit(energy)'!$L$9</f>
        <v>-0.44137423260647463</v>
      </c>
      <c r="J26">
        <f ca="1">(OFFSET('cbs_limit(energy)'!$G$24,(ROW('cbs_limit(energy)'!G27)-ROW('cbs_limit(energy)'!$G$24))*4,0)-OFFSET('cbs_limit(energy)'!$H$24,(ROW('cbs_limit(energy)'!H27)-ROW('cbs_limit(energy)'!$H$24))*4,0))/(2*'cbs_limit(energy)'!$L$6)*'cbs_limit(energy)'!$L$9</f>
        <v>-0.43743452643671055</v>
      </c>
      <c r="K26">
        <f ca="1">(OFFSET('cbs_limit(energy)'!$G$5,(ROW('cbs_limit(energy)'!G8)-ROW('cbs_limit(energy)'!$G$5))*4,0)-OFFSET('cbs_limit(energy)'!$H$5,(ROW('cbs_limit(energy)'!H8)-ROW('cbs_limit(energy)'!$H$5))*4,0))/(2*'cbs_limit(energy)'!$L$6)*'cbs_limit(energy)'!$L$9</f>
        <v>-0.42917385113782597</v>
      </c>
      <c r="N26">
        <f ca="1">OFFSET(dipoles_hf!$D$5, (ROW(dipoles_hf!D8)-ROW(dipoles_hf!$D$5))*4,0)</f>
        <v>-0.51890000000000003</v>
      </c>
      <c r="O26">
        <f ca="1">(OFFSET('cbs_limit(energy)'!$G$44,(ROW('cbs_limit(energy)'!G47)-ROW('cbs_limit(energy)'!$G$44))*4,0)-OFFSET('cbs_limit(energy)'!$H$44,(ROW('cbs_limit(energy)'!H47)-ROW('cbs_limit(energy)'!$H$44))*4,0))/(2*'cbs_limit(energy)'!$L$6)*'cbs_limit(energy)'!$L$9</f>
        <v>-0.43590947893373139</v>
      </c>
      <c r="P26">
        <f ca="1">(OFFSET('cbs_limit(energy)'!$G$25,(ROW('cbs_limit(energy)'!G28)-ROW('cbs_limit(energy)'!$G$25))*4,0)-OFFSET('cbs_limit(energy)'!$H$25,(ROW('cbs_limit(energy)'!H28)-ROW('cbs_limit(energy)'!$H$25))*4,0))/(2*'cbs_limit(energy)'!$L$6)*'cbs_limit(energy)'!$L$9</f>
        <v>-0.42764880363484681</v>
      </c>
      <c r="Q26">
        <f ca="1">(OFFSET('cbs_limit(energy)'!$G$6,(ROW('cbs_limit(energy)'!G9)-ROW('cbs_limit(energy)'!$G$6))*4,0)-OFFSET('cbs_limit(energy)'!$H$6,(ROW('cbs_limit(energy)'!H9)-ROW('cbs_limit(energy)'!$H$6))*4,0))/(2*'cbs_limit(energy)'!$L$6)*'cbs_limit(energy)'!$L$9</f>
        <v>-0.41926104020123833</v>
      </c>
      <c r="T26">
        <f t="shared" ca="1" si="12"/>
        <v>-0.51290000000000002</v>
      </c>
      <c r="W26">
        <f t="shared" ca="1" si="13"/>
        <v>-0.43735193755127705</v>
      </c>
    </row>
  </sheetData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1C32-9A86-4B3E-8DD1-A2E7ADF7FD83}">
  <dimension ref="A1:AO22"/>
  <sheetViews>
    <sheetView workbookViewId="0">
      <selection activeCell="D7" sqref="D7"/>
    </sheetView>
  </sheetViews>
  <sheetFormatPr defaultRowHeight="15" x14ac:dyDescent="0.25"/>
  <cols>
    <col min="1" max="1" width="18.140625" bestFit="1" customWidth="1"/>
  </cols>
  <sheetData>
    <row r="1" spans="1:41" x14ac:dyDescent="0.25">
      <c r="A1" t="s">
        <v>283</v>
      </c>
      <c r="B1" t="s">
        <v>284</v>
      </c>
      <c r="C1" t="s">
        <v>69</v>
      </c>
      <c r="D1" t="s">
        <v>71</v>
      </c>
      <c r="E1" t="s">
        <v>73</v>
      </c>
      <c r="F1" t="s">
        <v>285</v>
      </c>
      <c r="G1" t="s">
        <v>69</v>
      </c>
      <c r="H1" t="s">
        <v>71</v>
      </c>
      <c r="I1" t="s">
        <v>73</v>
      </c>
      <c r="J1" t="s">
        <v>286</v>
      </c>
      <c r="K1" t="s">
        <v>69</v>
      </c>
      <c r="L1" t="s">
        <v>71</v>
      </c>
      <c r="M1" t="s">
        <v>73</v>
      </c>
      <c r="N1" t="s">
        <v>287</v>
      </c>
      <c r="O1" t="s">
        <v>69</v>
      </c>
      <c r="P1" t="s">
        <v>71</v>
      </c>
      <c r="Q1" t="s">
        <v>73</v>
      </c>
      <c r="R1" t="s">
        <v>288</v>
      </c>
      <c r="S1" t="s">
        <v>69</v>
      </c>
      <c r="T1" t="s">
        <v>71</v>
      </c>
      <c r="U1" t="s">
        <v>73</v>
      </c>
      <c r="V1" t="s">
        <v>289</v>
      </c>
      <c r="W1" t="s">
        <v>69</v>
      </c>
      <c r="X1" t="s">
        <v>71</v>
      </c>
      <c r="Y1" t="s">
        <v>73</v>
      </c>
      <c r="Z1" t="s">
        <v>290</v>
      </c>
      <c r="AA1" t="s">
        <v>69</v>
      </c>
      <c r="AB1" t="s">
        <v>71</v>
      </c>
      <c r="AC1" t="s">
        <v>73</v>
      </c>
      <c r="AD1" t="s">
        <v>291</v>
      </c>
      <c r="AE1" t="s">
        <v>69</v>
      </c>
      <c r="AF1" t="s">
        <v>71</v>
      </c>
      <c r="AG1" t="s">
        <v>73</v>
      </c>
      <c r="AH1" t="s">
        <v>292</v>
      </c>
      <c r="AI1" t="s">
        <v>69</v>
      </c>
      <c r="AJ1" t="s">
        <v>71</v>
      </c>
      <c r="AK1" t="s">
        <v>73</v>
      </c>
      <c r="AL1" t="s">
        <v>293</v>
      </c>
      <c r="AM1" t="s">
        <v>69</v>
      </c>
      <c r="AN1" t="s">
        <v>71</v>
      </c>
      <c r="AO1" t="s">
        <v>73</v>
      </c>
    </row>
    <row r="10" spans="1:41" x14ac:dyDescent="0.25">
      <c r="S10" s="8"/>
    </row>
    <row r="11" spans="1:41" x14ac:dyDescent="0.25">
      <c r="S11" s="9"/>
    </row>
    <row r="12" spans="1:41" x14ac:dyDescent="0.25">
      <c r="S12" s="8"/>
    </row>
    <row r="13" spans="1:41" x14ac:dyDescent="0.25">
      <c r="S13" s="9"/>
    </row>
    <row r="14" spans="1:41" x14ac:dyDescent="0.25">
      <c r="S14" s="8"/>
    </row>
    <row r="15" spans="1:41" x14ac:dyDescent="0.25">
      <c r="S15" s="9"/>
    </row>
    <row r="16" spans="1:41" x14ac:dyDescent="0.25">
      <c r="S16" s="8"/>
    </row>
    <row r="17" spans="19:19" x14ac:dyDescent="0.25">
      <c r="S17" s="9"/>
    </row>
    <row r="18" spans="19:19" x14ac:dyDescent="0.25">
      <c r="S18" s="8"/>
    </row>
    <row r="19" spans="19:19" x14ac:dyDescent="0.25">
      <c r="S19" s="9"/>
    </row>
    <row r="20" spans="19:19" x14ac:dyDescent="0.25">
      <c r="S20" s="8"/>
    </row>
    <row r="21" spans="19:19" x14ac:dyDescent="0.25">
      <c r="S21" s="9"/>
    </row>
    <row r="22" spans="19:19" x14ac:dyDescent="0.25">
      <c r="S2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ADC3-D07F-4935-8581-D016CD8C3353}">
  <dimension ref="A1:G111"/>
  <sheetViews>
    <sheetView workbookViewId="0">
      <selection activeCell="A2" sqref="A2"/>
    </sheetView>
  </sheetViews>
  <sheetFormatPr defaultRowHeight="15" x14ac:dyDescent="0.25"/>
  <cols>
    <col min="1" max="1" width="23.140625" bestFit="1" customWidth="1"/>
    <col min="2" max="7" width="11.140625" bestFit="1" customWidth="1"/>
  </cols>
  <sheetData>
    <row r="1" spans="1:7" x14ac:dyDescent="0.25">
      <c r="A1" t="s">
        <v>181</v>
      </c>
      <c r="B1" t="s">
        <v>69</v>
      </c>
      <c r="C1" t="s">
        <v>75</v>
      </c>
      <c r="D1" t="s">
        <v>71</v>
      </c>
      <c r="E1" t="s">
        <v>76</v>
      </c>
      <c r="F1" t="s">
        <v>216</v>
      </c>
      <c r="G1" t="s">
        <v>73</v>
      </c>
    </row>
    <row r="2" spans="1:7" x14ac:dyDescent="0.25">
      <c r="A2" s="7" t="s">
        <v>228</v>
      </c>
      <c r="B2">
        <v>-12.9131</v>
      </c>
      <c r="C2">
        <v>0</v>
      </c>
      <c r="D2">
        <v>-12.9131</v>
      </c>
      <c r="E2">
        <v>0</v>
      </c>
      <c r="F2">
        <v>0</v>
      </c>
      <c r="G2">
        <v>-9.0120000000000005</v>
      </c>
    </row>
    <row r="3" spans="1:7" x14ac:dyDescent="0.25">
      <c r="A3" s="7" t="s">
        <v>229</v>
      </c>
      <c r="B3">
        <v>-12.9108</v>
      </c>
      <c r="C3">
        <v>0</v>
      </c>
      <c r="D3">
        <v>-12.9108</v>
      </c>
      <c r="E3">
        <v>0</v>
      </c>
      <c r="F3">
        <v>0</v>
      </c>
      <c r="G3">
        <v>-9.0108999999999995</v>
      </c>
    </row>
    <row r="4" spans="1:7" x14ac:dyDescent="0.25">
      <c r="A4" s="7" t="s">
        <v>230</v>
      </c>
      <c r="B4">
        <v>-12.9854</v>
      </c>
      <c r="C4">
        <v>0</v>
      </c>
      <c r="D4">
        <v>-12.9854</v>
      </c>
      <c r="E4">
        <v>0</v>
      </c>
      <c r="F4">
        <v>0</v>
      </c>
      <c r="G4">
        <v>-8.9588999999999999</v>
      </c>
    </row>
    <row r="5" spans="1:7" x14ac:dyDescent="0.25">
      <c r="A5" s="7" t="s">
        <v>231</v>
      </c>
      <c r="B5">
        <v>-12.8451</v>
      </c>
      <c r="C5">
        <v>0</v>
      </c>
      <c r="D5">
        <v>-12.8451</v>
      </c>
      <c r="E5">
        <v>0</v>
      </c>
      <c r="F5">
        <v>0</v>
      </c>
      <c r="G5">
        <v>-9.1125000000000007</v>
      </c>
    </row>
    <row r="6" spans="1:7" x14ac:dyDescent="0.25">
      <c r="A6" s="7" t="s">
        <v>2</v>
      </c>
      <c r="B6">
        <v>-12.873200000000001</v>
      </c>
      <c r="C6">
        <v>0</v>
      </c>
      <c r="D6">
        <v>-12.873200000000001</v>
      </c>
      <c r="E6">
        <v>0</v>
      </c>
      <c r="F6">
        <v>0</v>
      </c>
      <c r="G6">
        <v>-8.9146999999999998</v>
      </c>
    </row>
    <row r="7" spans="1:7" x14ac:dyDescent="0.25">
      <c r="A7" s="7" t="s">
        <v>3</v>
      </c>
      <c r="B7">
        <v>-12.89</v>
      </c>
      <c r="C7">
        <v>0</v>
      </c>
      <c r="D7">
        <v>-12.89</v>
      </c>
      <c r="E7">
        <v>0</v>
      </c>
      <c r="F7">
        <v>0</v>
      </c>
      <c r="G7">
        <v>-9.1525999999999996</v>
      </c>
    </row>
    <row r="8" spans="1:7" x14ac:dyDescent="0.25">
      <c r="A8" s="7" t="s">
        <v>4</v>
      </c>
      <c r="B8">
        <v>-12.8492</v>
      </c>
      <c r="C8">
        <v>0</v>
      </c>
      <c r="D8">
        <v>-12.8492</v>
      </c>
      <c r="E8">
        <v>0</v>
      </c>
      <c r="F8">
        <v>0</v>
      </c>
      <c r="G8">
        <v>-8.7911999999999999</v>
      </c>
    </row>
    <row r="9" spans="1:7" x14ac:dyDescent="0.25">
      <c r="A9" s="7" t="s">
        <v>5</v>
      </c>
      <c r="B9">
        <v>-12.8161</v>
      </c>
      <c r="C9">
        <v>0</v>
      </c>
      <c r="D9">
        <v>-12.8161</v>
      </c>
      <c r="E9">
        <v>0</v>
      </c>
      <c r="F9">
        <v>0</v>
      </c>
      <c r="G9">
        <v>-8.8890999999999991</v>
      </c>
    </row>
    <row r="10" spans="1:7" x14ac:dyDescent="0.25">
      <c r="A10" s="7" t="s">
        <v>6</v>
      </c>
      <c r="B10">
        <v>-12.9556</v>
      </c>
      <c r="C10">
        <v>0</v>
      </c>
      <c r="D10">
        <v>-12.9556</v>
      </c>
      <c r="E10">
        <v>0</v>
      </c>
      <c r="F10">
        <v>0</v>
      </c>
      <c r="G10">
        <v>-9.1745000000000001</v>
      </c>
    </row>
    <row r="11" spans="1:7" x14ac:dyDescent="0.25">
      <c r="A11" s="7" t="s">
        <v>232</v>
      </c>
      <c r="B11">
        <v>-12.826700000000001</v>
      </c>
      <c r="C11">
        <v>0</v>
      </c>
      <c r="D11">
        <v>-12.826700000000001</v>
      </c>
      <c r="E11">
        <v>0</v>
      </c>
      <c r="F11">
        <v>0</v>
      </c>
      <c r="G11">
        <v>-9.0617000000000001</v>
      </c>
    </row>
    <row r="12" spans="1:7" x14ac:dyDescent="0.25">
      <c r="A12" s="7" t="s">
        <v>233</v>
      </c>
      <c r="B12">
        <v>-13.065899999999999</v>
      </c>
      <c r="C12">
        <v>0</v>
      </c>
      <c r="D12">
        <v>-13.065899999999999</v>
      </c>
      <c r="E12">
        <v>0</v>
      </c>
      <c r="F12">
        <v>0</v>
      </c>
      <c r="G12">
        <v>-9.1021999999999998</v>
      </c>
    </row>
    <row r="13" spans="1:7" x14ac:dyDescent="0.25">
      <c r="A13" s="7" t="s">
        <v>234</v>
      </c>
      <c r="B13">
        <v>-12.857100000000001</v>
      </c>
      <c r="C13">
        <v>0</v>
      </c>
      <c r="D13">
        <v>-12.857100000000001</v>
      </c>
      <c r="E13">
        <v>0</v>
      </c>
      <c r="F13">
        <v>0</v>
      </c>
      <c r="G13">
        <v>-8.8602000000000007</v>
      </c>
    </row>
    <row r="14" spans="1:7" x14ac:dyDescent="0.25">
      <c r="A14" s="7" t="s">
        <v>235</v>
      </c>
      <c r="B14">
        <v>-12.955299999999999</v>
      </c>
      <c r="C14">
        <v>0</v>
      </c>
      <c r="D14">
        <v>-12.955299999999999</v>
      </c>
      <c r="E14">
        <v>0</v>
      </c>
      <c r="F14">
        <v>0</v>
      </c>
      <c r="G14">
        <v>-8.9946000000000002</v>
      </c>
    </row>
    <row r="15" spans="1:7" x14ac:dyDescent="0.25">
      <c r="A15" s="7" t="s">
        <v>8</v>
      </c>
      <c r="B15">
        <v>-8.3892000000000007</v>
      </c>
      <c r="C15">
        <v>0</v>
      </c>
      <c r="D15">
        <v>-8.3892000000000007</v>
      </c>
      <c r="E15">
        <v>0</v>
      </c>
      <c r="F15">
        <v>0</v>
      </c>
      <c r="G15">
        <v>-8.3892000000000007</v>
      </c>
    </row>
    <row r="16" spans="1:7" x14ac:dyDescent="0.25">
      <c r="A16" s="7" t="s">
        <v>9</v>
      </c>
      <c r="B16">
        <v>-8.4887999999999995</v>
      </c>
      <c r="C16">
        <v>0</v>
      </c>
      <c r="D16">
        <v>-8.4887999999999995</v>
      </c>
      <c r="E16">
        <v>0</v>
      </c>
      <c r="F16">
        <v>0</v>
      </c>
      <c r="G16">
        <v>-8.4887999999999995</v>
      </c>
    </row>
    <row r="17" spans="1:7" x14ac:dyDescent="0.25">
      <c r="A17" s="7" t="s">
        <v>10</v>
      </c>
      <c r="B17">
        <v>-8.3416999999999994</v>
      </c>
      <c r="C17">
        <v>0</v>
      </c>
      <c r="D17">
        <v>-8.3416999999999994</v>
      </c>
      <c r="E17">
        <v>0</v>
      </c>
      <c r="F17">
        <v>0</v>
      </c>
      <c r="G17">
        <v>-8.3416999999999994</v>
      </c>
    </row>
    <row r="18" spans="1:7" x14ac:dyDescent="0.25">
      <c r="A18" s="7" t="s">
        <v>11</v>
      </c>
      <c r="B18">
        <v>-8.3731000000000009</v>
      </c>
      <c r="C18">
        <v>0</v>
      </c>
      <c r="D18">
        <v>-8.3731000000000009</v>
      </c>
      <c r="E18">
        <v>0</v>
      </c>
      <c r="F18">
        <v>0</v>
      </c>
      <c r="G18">
        <v>-8.3731000000000009</v>
      </c>
    </row>
    <row r="19" spans="1:7" x14ac:dyDescent="0.25">
      <c r="A19" s="7" t="s">
        <v>12</v>
      </c>
      <c r="B19">
        <v>-8.5448000000000004</v>
      </c>
      <c r="C19">
        <v>0</v>
      </c>
      <c r="D19">
        <v>-8.5448000000000004</v>
      </c>
      <c r="E19">
        <v>0</v>
      </c>
      <c r="F19">
        <v>0</v>
      </c>
      <c r="G19">
        <v>-8.5448000000000004</v>
      </c>
    </row>
    <row r="20" spans="1:7" x14ac:dyDescent="0.25">
      <c r="A20" s="7" t="s">
        <v>236</v>
      </c>
      <c r="B20">
        <v>-11.078900000000001</v>
      </c>
      <c r="C20">
        <v>0</v>
      </c>
      <c r="D20">
        <v>-11.078900000000001</v>
      </c>
      <c r="E20">
        <v>0</v>
      </c>
      <c r="F20">
        <v>0</v>
      </c>
      <c r="G20">
        <v>-9.0070999999999994</v>
      </c>
    </row>
    <row r="21" spans="1:7" x14ac:dyDescent="0.25">
      <c r="A21" s="7" t="s">
        <v>237</v>
      </c>
      <c r="B21">
        <v>-11.0227</v>
      </c>
      <c r="C21">
        <v>0</v>
      </c>
      <c r="D21">
        <v>-11.0227</v>
      </c>
      <c r="E21">
        <v>0</v>
      </c>
      <c r="F21">
        <v>0</v>
      </c>
      <c r="G21">
        <v>-8.9148999999999994</v>
      </c>
    </row>
    <row r="22" spans="1:7" x14ac:dyDescent="0.25">
      <c r="A22" s="7" t="s">
        <v>238</v>
      </c>
      <c r="B22">
        <v>-11.0213</v>
      </c>
      <c r="C22">
        <v>0</v>
      </c>
      <c r="D22">
        <v>-11.0213</v>
      </c>
      <c r="E22">
        <v>0</v>
      </c>
      <c r="F22">
        <v>0</v>
      </c>
      <c r="G22">
        <v>-8.9140999999999995</v>
      </c>
    </row>
    <row r="23" spans="1:7" x14ac:dyDescent="0.25">
      <c r="A23" s="7" t="s">
        <v>239</v>
      </c>
      <c r="B23">
        <v>-11.134600000000001</v>
      </c>
      <c r="C23">
        <v>0</v>
      </c>
      <c r="D23">
        <v>-11.134600000000001</v>
      </c>
      <c r="E23">
        <v>0</v>
      </c>
      <c r="F23">
        <v>0</v>
      </c>
      <c r="G23">
        <v>-8.5803999999999991</v>
      </c>
    </row>
    <row r="24" spans="1:7" x14ac:dyDescent="0.25">
      <c r="A24" s="7" t="s">
        <v>240</v>
      </c>
      <c r="B24">
        <v>-11.0129</v>
      </c>
      <c r="C24">
        <v>0</v>
      </c>
      <c r="D24">
        <v>-11.0129</v>
      </c>
      <c r="E24">
        <v>0</v>
      </c>
      <c r="F24">
        <v>0</v>
      </c>
      <c r="G24">
        <v>-9.2568999999999999</v>
      </c>
    </row>
    <row r="25" spans="1:7" x14ac:dyDescent="0.25">
      <c r="A25" s="7" t="s">
        <v>14</v>
      </c>
      <c r="B25">
        <v>-11.026199999999999</v>
      </c>
      <c r="C25">
        <v>0</v>
      </c>
      <c r="D25">
        <v>-11.026199999999999</v>
      </c>
      <c r="E25">
        <v>0</v>
      </c>
      <c r="F25">
        <v>0</v>
      </c>
      <c r="G25">
        <v>-8.7434999999999992</v>
      </c>
    </row>
    <row r="26" spans="1:7" x14ac:dyDescent="0.25">
      <c r="A26" s="7" t="s">
        <v>15</v>
      </c>
      <c r="B26">
        <v>-11.0504</v>
      </c>
      <c r="C26">
        <v>0</v>
      </c>
      <c r="D26">
        <v>-11.0504</v>
      </c>
      <c r="E26">
        <v>0</v>
      </c>
      <c r="F26">
        <v>0</v>
      </c>
      <c r="G26">
        <v>-9.3058999999999994</v>
      </c>
    </row>
    <row r="27" spans="1:7" x14ac:dyDescent="0.25">
      <c r="A27" s="7" t="s">
        <v>16</v>
      </c>
      <c r="B27">
        <v>-10.9902</v>
      </c>
      <c r="C27">
        <v>0</v>
      </c>
      <c r="D27">
        <v>-10.9902</v>
      </c>
      <c r="E27">
        <v>0</v>
      </c>
      <c r="F27">
        <v>0</v>
      </c>
      <c r="G27">
        <v>-8.3805999999999994</v>
      </c>
    </row>
    <row r="28" spans="1:7" x14ac:dyDescent="0.25">
      <c r="A28" s="7" t="s">
        <v>17</v>
      </c>
      <c r="B28">
        <v>-10.964600000000001</v>
      </c>
      <c r="C28">
        <v>0</v>
      </c>
      <c r="D28">
        <v>-10.964600000000001</v>
      </c>
      <c r="E28">
        <v>0</v>
      </c>
      <c r="F28">
        <v>0</v>
      </c>
      <c r="G28">
        <v>-8.7756000000000007</v>
      </c>
    </row>
    <row r="29" spans="1:7" x14ac:dyDescent="0.25">
      <c r="A29" s="7" t="s">
        <v>18</v>
      </c>
      <c r="B29">
        <v>-11.099399999999999</v>
      </c>
      <c r="C29">
        <v>0</v>
      </c>
      <c r="D29">
        <v>-11.099399999999999</v>
      </c>
      <c r="E29">
        <v>0</v>
      </c>
      <c r="F29">
        <v>0</v>
      </c>
      <c r="G29">
        <v>-9.4022000000000006</v>
      </c>
    </row>
    <row r="30" spans="1:7" x14ac:dyDescent="0.25">
      <c r="A30" s="7" t="s">
        <v>241</v>
      </c>
      <c r="B30">
        <v>-10.9849</v>
      </c>
      <c r="C30">
        <v>0</v>
      </c>
      <c r="D30">
        <v>-10.9849</v>
      </c>
      <c r="E30">
        <v>0</v>
      </c>
      <c r="F30">
        <v>0</v>
      </c>
      <c r="G30">
        <v>-9.1616999999999997</v>
      </c>
    </row>
    <row r="31" spans="1:7" x14ac:dyDescent="0.25">
      <c r="A31" s="7" t="s">
        <v>242</v>
      </c>
      <c r="B31">
        <v>-11.185</v>
      </c>
      <c r="C31">
        <v>0</v>
      </c>
      <c r="D31">
        <v>-11.185</v>
      </c>
      <c r="E31">
        <v>0</v>
      </c>
      <c r="F31">
        <v>0</v>
      </c>
      <c r="G31">
        <v>-8.7858000000000001</v>
      </c>
    </row>
    <row r="32" spans="1:7" x14ac:dyDescent="0.25">
      <c r="A32" s="7" t="s">
        <v>243</v>
      </c>
      <c r="B32">
        <v>-10.9962</v>
      </c>
      <c r="C32">
        <v>0</v>
      </c>
      <c r="D32">
        <v>-10.9962</v>
      </c>
      <c r="E32">
        <v>0</v>
      </c>
      <c r="F32">
        <v>0</v>
      </c>
      <c r="G32">
        <v>-8.6203000000000003</v>
      </c>
    </row>
    <row r="33" spans="1:7" x14ac:dyDescent="0.25">
      <c r="A33" s="7" t="s">
        <v>244</v>
      </c>
      <c r="B33">
        <v>-11.0999</v>
      </c>
      <c r="C33">
        <v>0</v>
      </c>
      <c r="D33">
        <v>-11.0999</v>
      </c>
      <c r="E33">
        <v>0</v>
      </c>
      <c r="F33">
        <v>0</v>
      </c>
      <c r="G33">
        <v>-8.7629999999999999</v>
      </c>
    </row>
    <row r="34" spans="1:7" x14ac:dyDescent="0.25">
      <c r="A34" s="7" t="s">
        <v>245</v>
      </c>
      <c r="B34">
        <v>-10.3071</v>
      </c>
      <c r="C34">
        <v>0</v>
      </c>
      <c r="D34">
        <v>-10.3071</v>
      </c>
      <c r="E34">
        <v>0</v>
      </c>
      <c r="F34">
        <v>0</v>
      </c>
      <c r="G34">
        <v>-12.222</v>
      </c>
    </row>
    <row r="35" spans="1:7" x14ac:dyDescent="0.25">
      <c r="A35" s="7" t="s">
        <v>246</v>
      </c>
      <c r="B35">
        <v>-10.213800000000001</v>
      </c>
      <c r="C35">
        <v>0</v>
      </c>
      <c r="D35">
        <v>-10.213800000000001</v>
      </c>
      <c r="E35">
        <v>0</v>
      </c>
      <c r="F35">
        <v>0</v>
      </c>
      <c r="G35">
        <v>-12.157500000000001</v>
      </c>
    </row>
    <row r="36" spans="1:7" x14ac:dyDescent="0.25">
      <c r="A36" s="7" t="s">
        <v>247</v>
      </c>
      <c r="B36">
        <v>-10.2125</v>
      </c>
      <c r="C36">
        <v>0</v>
      </c>
      <c r="D36">
        <v>-10.2125</v>
      </c>
      <c r="E36">
        <v>0</v>
      </c>
      <c r="F36">
        <v>0</v>
      </c>
      <c r="G36">
        <v>-12.156700000000001</v>
      </c>
    </row>
    <row r="37" spans="1:7" x14ac:dyDescent="0.25">
      <c r="A37" s="7" t="s">
        <v>248</v>
      </c>
      <c r="B37">
        <v>-10.2928</v>
      </c>
      <c r="C37">
        <v>0</v>
      </c>
      <c r="D37">
        <v>-10.2928</v>
      </c>
      <c r="E37">
        <v>0</v>
      </c>
      <c r="F37">
        <v>0</v>
      </c>
      <c r="G37">
        <v>-12.2203</v>
      </c>
    </row>
    <row r="38" spans="1:7" x14ac:dyDescent="0.25">
      <c r="A38" s="7" t="s">
        <v>249</v>
      </c>
      <c r="B38">
        <v>-10.297700000000001</v>
      </c>
      <c r="C38">
        <v>0</v>
      </c>
      <c r="D38">
        <v>-10.297700000000001</v>
      </c>
      <c r="E38">
        <v>0</v>
      </c>
      <c r="F38">
        <v>0</v>
      </c>
      <c r="G38">
        <v>-12.042199999999999</v>
      </c>
    </row>
    <row r="39" spans="1:7" x14ac:dyDescent="0.25">
      <c r="A39" s="7" t="s">
        <v>26</v>
      </c>
      <c r="B39">
        <v>-10.249499999999999</v>
      </c>
      <c r="C39">
        <v>0</v>
      </c>
      <c r="D39">
        <v>-10.249499999999999</v>
      </c>
      <c r="E39">
        <v>0</v>
      </c>
      <c r="F39">
        <v>0</v>
      </c>
      <c r="G39">
        <v>-12.1149</v>
      </c>
    </row>
    <row r="40" spans="1:7" x14ac:dyDescent="0.25">
      <c r="A40" s="7" t="s">
        <v>28</v>
      </c>
    </row>
    <row r="41" spans="1:7" x14ac:dyDescent="0.25">
      <c r="A41" s="7" t="s">
        <v>29</v>
      </c>
    </row>
    <row r="42" spans="1:7" x14ac:dyDescent="0.25">
      <c r="A42" s="7" t="s">
        <v>30</v>
      </c>
    </row>
    <row r="43" spans="1:7" x14ac:dyDescent="0.25">
      <c r="A43" s="7" t="s">
        <v>31</v>
      </c>
    </row>
    <row r="44" spans="1:7" x14ac:dyDescent="0.25">
      <c r="A44" s="7" t="s">
        <v>250</v>
      </c>
      <c r="B44">
        <v>-10.242100000000001</v>
      </c>
      <c r="C44">
        <v>0</v>
      </c>
      <c r="D44">
        <v>-10.242100000000001</v>
      </c>
      <c r="E44">
        <v>0</v>
      </c>
      <c r="F44">
        <v>0</v>
      </c>
      <c r="G44">
        <v>-12.0603</v>
      </c>
    </row>
    <row r="45" spans="1:7" x14ac:dyDescent="0.25">
      <c r="A45" s="7" t="s">
        <v>251</v>
      </c>
      <c r="B45">
        <v>-10.377800000000001</v>
      </c>
      <c r="C45">
        <v>0</v>
      </c>
      <c r="D45">
        <v>-10.377800000000001</v>
      </c>
      <c r="E45">
        <v>0</v>
      </c>
      <c r="F45">
        <v>0</v>
      </c>
      <c r="G45">
        <v>-12.2395</v>
      </c>
    </row>
    <row r="46" spans="1:7" x14ac:dyDescent="0.25">
      <c r="A46" s="7" t="s">
        <v>252</v>
      </c>
      <c r="B46">
        <v>-10.2096</v>
      </c>
      <c r="C46">
        <v>0</v>
      </c>
      <c r="D46">
        <v>-10.2096</v>
      </c>
      <c r="E46">
        <v>0</v>
      </c>
      <c r="F46">
        <v>0</v>
      </c>
      <c r="G46">
        <v>-12.0847</v>
      </c>
    </row>
    <row r="47" spans="1:7" x14ac:dyDescent="0.25">
      <c r="A47" s="7" t="s">
        <v>253</v>
      </c>
      <c r="B47">
        <v>-10.3119</v>
      </c>
      <c r="C47">
        <v>0</v>
      </c>
      <c r="D47">
        <v>-10.3119</v>
      </c>
      <c r="E47">
        <v>0</v>
      </c>
      <c r="F47">
        <v>0</v>
      </c>
      <c r="G47">
        <v>-12.213900000000001</v>
      </c>
    </row>
    <row r="48" spans="1:7" x14ac:dyDescent="0.25">
      <c r="A48" s="7" t="s">
        <v>20</v>
      </c>
      <c r="B48">
        <v>-14.804</v>
      </c>
      <c r="C48">
        <v>0</v>
      </c>
      <c r="D48">
        <v>-14.804</v>
      </c>
      <c r="E48">
        <v>0</v>
      </c>
      <c r="F48">
        <v>0</v>
      </c>
      <c r="G48">
        <v>-19.134399999999999</v>
      </c>
    </row>
    <row r="49" spans="1:7" x14ac:dyDescent="0.25">
      <c r="A49" s="7" t="s">
        <v>21</v>
      </c>
      <c r="B49">
        <v>-14.892099999999999</v>
      </c>
      <c r="C49">
        <v>0</v>
      </c>
      <c r="D49">
        <v>-14.892099999999999</v>
      </c>
      <c r="E49">
        <v>0</v>
      </c>
      <c r="F49">
        <v>0</v>
      </c>
      <c r="G49">
        <v>-19.024999999999999</v>
      </c>
    </row>
    <row r="50" spans="1:7" x14ac:dyDescent="0.25">
      <c r="A50" s="7" t="s">
        <v>22</v>
      </c>
      <c r="B50">
        <v>-14.7341</v>
      </c>
      <c r="C50">
        <v>0</v>
      </c>
      <c r="D50">
        <v>-14.7341</v>
      </c>
      <c r="E50">
        <v>0</v>
      </c>
      <c r="F50">
        <v>0</v>
      </c>
      <c r="G50">
        <v>-19.168900000000001</v>
      </c>
    </row>
    <row r="51" spans="1:7" x14ac:dyDescent="0.25">
      <c r="A51" s="7" t="s">
        <v>23</v>
      </c>
      <c r="B51">
        <v>-14.748699999999999</v>
      </c>
      <c r="C51">
        <v>0</v>
      </c>
      <c r="D51">
        <v>-14.748699999999999</v>
      </c>
      <c r="E51">
        <v>0</v>
      </c>
      <c r="F51">
        <v>0</v>
      </c>
      <c r="G51">
        <v>-19.0381</v>
      </c>
    </row>
    <row r="52" spans="1:7" x14ac:dyDescent="0.25">
      <c r="A52" s="7" t="s">
        <v>24</v>
      </c>
      <c r="B52">
        <v>-14.9412</v>
      </c>
      <c r="C52">
        <v>0</v>
      </c>
      <c r="D52">
        <v>-14.9412</v>
      </c>
      <c r="E52">
        <v>0</v>
      </c>
      <c r="F52">
        <v>0</v>
      </c>
      <c r="G52">
        <v>-19.094799999999999</v>
      </c>
    </row>
    <row r="53" spans="1:7" x14ac:dyDescent="0.25">
      <c r="A53" s="7" t="s">
        <v>254</v>
      </c>
      <c r="B53">
        <v>-15.2812</v>
      </c>
      <c r="C53">
        <v>0</v>
      </c>
      <c r="D53">
        <v>-15.2812</v>
      </c>
      <c r="E53">
        <v>0</v>
      </c>
      <c r="F53">
        <v>0</v>
      </c>
      <c r="G53">
        <v>-18.55</v>
      </c>
    </row>
    <row r="54" spans="1:7" x14ac:dyDescent="0.25">
      <c r="A54" s="7" t="s">
        <v>255</v>
      </c>
      <c r="B54">
        <v>-15.1815</v>
      </c>
      <c r="C54">
        <v>0</v>
      </c>
      <c r="D54">
        <v>-15.1815</v>
      </c>
      <c r="E54">
        <v>0</v>
      </c>
      <c r="F54">
        <v>0</v>
      </c>
      <c r="G54">
        <v>-18.229299999999999</v>
      </c>
    </row>
    <row r="55" spans="1:7" x14ac:dyDescent="0.25">
      <c r="A55" s="7" t="s">
        <v>256</v>
      </c>
      <c r="B55">
        <v>-15.3035</v>
      </c>
      <c r="C55">
        <v>0</v>
      </c>
      <c r="D55">
        <v>-15.3035</v>
      </c>
      <c r="E55">
        <v>0</v>
      </c>
      <c r="F55">
        <v>0</v>
      </c>
      <c r="G55">
        <v>-18.5337</v>
      </c>
    </row>
    <row r="56" spans="1:7" x14ac:dyDescent="0.25">
      <c r="A56" s="7" t="s">
        <v>257</v>
      </c>
      <c r="B56">
        <v>-15.246600000000001</v>
      </c>
      <c r="C56">
        <v>0</v>
      </c>
      <c r="D56">
        <v>-15.246600000000001</v>
      </c>
      <c r="E56">
        <v>0</v>
      </c>
      <c r="F56">
        <v>0</v>
      </c>
      <c r="G56">
        <v>-18.296299999999999</v>
      </c>
    </row>
    <row r="57" spans="1:7" x14ac:dyDescent="0.25">
      <c r="A57" s="7" t="s">
        <v>258</v>
      </c>
      <c r="B57">
        <v>-15.209199999999999</v>
      </c>
      <c r="C57">
        <v>0</v>
      </c>
      <c r="D57">
        <v>-15.209199999999999</v>
      </c>
      <c r="E57">
        <v>0</v>
      </c>
      <c r="F57">
        <v>0</v>
      </c>
      <c r="G57">
        <v>-18.244900000000001</v>
      </c>
    </row>
    <row r="58" spans="1:7" x14ac:dyDescent="0.25">
      <c r="A58" s="7" t="s">
        <v>259</v>
      </c>
      <c r="B58">
        <v>-15.1492</v>
      </c>
      <c r="C58">
        <v>0</v>
      </c>
      <c r="D58">
        <v>-15.1492</v>
      </c>
      <c r="E58">
        <v>0</v>
      </c>
      <c r="F58">
        <v>0</v>
      </c>
      <c r="G58">
        <v>-18.315799999999999</v>
      </c>
    </row>
    <row r="59" spans="1:7" x14ac:dyDescent="0.25">
      <c r="A59" s="7" t="s">
        <v>260</v>
      </c>
      <c r="B59">
        <v>-15.2933</v>
      </c>
      <c r="C59">
        <v>0</v>
      </c>
      <c r="D59">
        <v>-15.2933</v>
      </c>
      <c r="E59">
        <v>0</v>
      </c>
      <c r="F59">
        <v>0</v>
      </c>
      <c r="G59">
        <v>-18.5093</v>
      </c>
    </row>
    <row r="60" spans="1:7" x14ac:dyDescent="0.25">
      <c r="A60" s="7" t="s">
        <v>33</v>
      </c>
      <c r="B60">
        <v>-7.7221000000000002</v>
      </c>
      <c r="C60">
        <v>0</v>
      </c>
      <c r="D60">
        <v>-4.4150999999999998</v>
      </c>
      <c r="E60">
        <v>0</v>
      </c>
      <c r="F60">
        <v>0</v>
      </c>
      <c r="G60">
        <v>-6.4040999999999997</v>
      </c>
    </row>
    <row r="61" spans="1:7" x14ac:dyDescent="0.25">
      <c r="A61" s="7" t="s">
        <v>34</v>
      </c>
      <c r="B61">
        <v>-7.8654999999999999</v>
      </c>
      <c r="C61">
        <v>0</v>
      </c>
      <c r="D61">
        <v>-4.5551000000000004</v>
      </c>
      <c r="E61">
        <v>0</v>
      </c>
      <c r="F61">
        <v>0</v>
      </c>
      <c r="G61">
        <v>-6.5422000000000002</v>
      </c>
    </row>
    <row r="62" spans="1:7" x14ac:dyDescent="0.25">
      <c r="A62" s="7" t="s">
        <v>35</v>
      </c>
      <c r="B62">
        <v>-7.6444000000000001</v>
      </c>
      <c r="C62">
        <v>0</v>
      </c>
      <c r="D62">
        <v>-4.3287000000000004</v>
      </c>
      <c r="E62">
        <v>0</v>
      </c>
      <c r="F62">
        <v>0</v>
      </c>
      <c r="G62">
        <v>-6.33</v>
      </c>
    </row>
    <row r="63" spans="1:7" x14ac:dyDescent="0.25">
      <c r="A63" s="7" t="s">
        <v>36</v>
      </c>
      <c r="B63">
        <v>-7.7121000000000004</v>
      </c>
      <c r="C63">
        <v>0</v>
      </c>
      <c r="D63">
        <v>-4.3967000000000001</v>
      </c>
      <c r="E63">
        <v>0</v>
      </c>
      <c r="F63">
        <v>0</v>
      </c>
      <c r="G63">
        <v>-6.3978000000000002</v>
      </c>
    </row>
    <row r="64" spans="1:7" x14ac:dyDescent="0.25">
      <c r="A64" s="7" t="s">
        <v>37</v>
      </c>
      <c r="B64">
        <v>-7.9154</v>
      </c>
      <c r="C64">
        <v>0</v>
      </c>
      <c r="D64">
        <v>-4.5441000000000003</v>
      </c>
      <c r="E64">
        <v>0</v>
      </c>
      <c r="F64">
        <v>0</v>
      </c>
      <c r="G64">
        <v>-6.5731999999999999</v>
      </c>
    </row>
    <row r="65" spans="1:7" x14ac:dyDescent="0.25">
      <c r="A65" s="7" t="s">
        <v>39</v>
      </c>
      <c r="B65">
        <v>-11.1965</v>
      </c>
      <c r="C65">
        <v>0.60450000000000004</v>
      </c>
      <c r="D65">
        <v>-13.395899999999999</v>
      </c>
      <c r="E65">
        <v>0</v>
      </c>
      <c r="F65">
        <v>0</v>
      </c>
      <c r="G65">
        <v>-10.9979</v>
      </c>
    </row>
    <row r="66" spans="1:7" x14ac:dyDescent="0.25">
      <c r="A66" s="7" t="s">
        <v>40</v>
      </c>
      <c r="B66">
        <v>-11.329700000000001</v>
      </c>
      <c r="C66">
        <v>0.5232</v>
      </c>
      <c r="D66">
        <v>-13.407</v>
      </c>
      <c r="E66">
        <v>0</v>
      </c>
      <c r="F66">
        <v>0</v>
      </c>
      <c r="G66">
        <v>-11.084099999999999</v>
      </c>
    </row>
    <row r="67" spans="1:7" x14ac:dyDescent="0.25">
      <c r="A67" s="7" t="s">
        <v>41</v>
      </c>
      <c r="B67">
        <v>-11.148199999999999</v>
      </c>
      <c r="C67">
        <v>0.66749999999999998</v>
      </c>
      <c r="D67">
        <v>-13.373699999999999</v>
      </c>
      <c r="E67">
        <v>0</v>
      </c>
      <c r="F67">
        <v>0</v>
      </c>
      <c r="G67">
        <v>-10.9336</v>
      </c>
    </row>
    <row r="68" spans="1:7" x14ac:dyDescent="0.25">
      <c r="A68" s="7" t="s">
        <v>42</v>
      </c>
      <c r="B68">
        <v>-11.198700000000001</v>
      </c>
      <c r="C68">
        <v>0.60560000000000003</v>
      </c>
      <c r="D68">
        <v>-13.3324</v>
      </c>
      <c r="E68">
        <v>0</v>
      </c>
      <c r="F68">
        <v>0</v>
      </c>
      <c r="G68">
        <v>-10.946199999999999</v>
      </c>
    </row>
    <row r="69" spans="1:7" x14ac:dyDescent="0.25">
      <c r="A69" s="7" t="s">
        <v>43</v>
      </c>
      <c r="B69">
        <v>-11.306800000000001</v>
      </c>
      <c r="C69">
        <v>0.51200000000000001</v>
      </c>
      <c r="D69">
        <v>-13.4954</v>
      </c>
      <c r="E69">
        <v>0</v>
      </c>
      <c r="F69">
        <v>0</v>
      </c>
      <c r="G69">
        <v>-11.1587</v>
      </c>
    </row>
    <row r="70" spans="1:7" x14ac:dyDescent="0.25">
      <c r="A70" s="7" t="s">
        <v>45</v>
      </c>
      <c r="B70">
        <v>-5.8423999999999996</v>
      </c>
      <c r="C70">
        <v>0</v>
      </c>
      <c r="D70">
        <v>-5.8423999999999996</v>
      </c>
      <c r="E70">
        <v>0</v>
      </c>
      <c r="F70">
        <v>0</v>
      </c>
      <c r="G70">
        <v>-3.3984000000000001</v>
      </c>
    </row>
    <row r="71" spans="1:7" x14ac:dyDescent="0.25">
      <c r="A71" s="7" t="s">
        <v>46</v>
      </c>
      <c r="B71">
        <v>-5.9523999999999999</v>
      </c>
      <c r="C71">
        <v>0</v>
      </c>
      <c r="D71">
        <v>-5.9523999999999999</v>
      </c>
      <c r="E71">
        <v>0</v>
      </c>
      <c r="F71">
        <v>0</v>
      </c>
      <c r="G71">
        <v>-3.5354000000000001</v>
      </c>
    </row>
    <row r="72" spans="1:7" x14ac:dyDescent="0.25">
      <c r="A72" s="7" t="s">
        <v>47</v>
      </c>
      <c r="B72">
        <v>-5.7751999999999999</v>
      </c>
      <c r="C72">
        <v>0</v>
      </c>
      <c r="D72">
        <v>-5.7751999999999999</v>
      </c>
      <c r="E72">
        <v>0</v>
      </c>
      <c r="F72">
        <v>0</v>
      </c>
      <c r="G72">
        <v>-3.3136999999999999</v>
      </c>
    </row>
    <row r="73" spans="1:7" x14ac:dyDescent="0.25">
      <c r="A73" s="7" t="s">
        <v>48</v>
      </c>
      <c r="B73">
        <v>-5.8292999999999999</v>
      </c>
      <c r="C73">
        <v>0</v>
      </c>
      <c r="D73">
        <v>-5.8292999999999999</v>
      </c>
      <c r="E73">
        <v>0</v>
      </c>
      <c r="F73">
        <v>0</v>
      </c>
      <c r="G73">
        <v>-3.3895</v>
      </c>
    </row>
    <row r="74" spans="1:7" x14ac:dyDescent="0.25">
      <c r="A74" s="7" t="s">
        <v>49</v>
      </c>
      <c r="B74">
        <v>-5.9767000000000001</v>
      </c>
      <c r="C74">
        <v>0</v>
      </c>
      <c r="D74">
        <v>-5.9767000000000001</v>
      </c>
      <c r="E74">
        <v>0</v>
      </c>
      <c r="F74">
        <v>0</v>
      </c>
      <c r="G74">
        <v>-3.5143</v>
      </c>
    </row>
    <row r="75" spans="1:7" x14ac:dyDescent="0.25">
      <c r="A75" s="7" t="s">
        <v>261</v>
      </c>
      <c r="B75">
        <v>-10.0634</v>
      </c>
      <c r="C75">
        <v>1.6368</v>
      </c>
      <c r="D75">
        <v>-11.113099999999999</v>
      </c>
      <c r="E75">
        <v>0</v>
      </c>
      <c r="F75">
        <v>0</v>
      </c>
      <c r="G75">
        <v>-11.1327</v>
      </c>
    </row>
    <row r="76" spans="1:7" x14ac:dyDescent="0.25">
      <c r="A76" s="7" t="s">
        <v>262</v>
      </c>
    </row>
    <row r="77" spans="1:7" x14ac:dyDescent="0.25">
      <c r="A77" s="7" t="s">
        <v>263</v>
      </c>
    </row>
    <row r="78" spans="1:7" x14ac:dyDescent="0.25">
      <c r="A78" s="7" t="s">
        <v>264</v>
      </c>
      <c r="B78">
        <v>-9.9492999999999991</v>
      </c>
      <c r="C78">
        <v>1.6921999999999999</v>
      </c>
      <c r="D78">
        <v>-11.06</v>
      </c>
      <c r="E78">
        <v>0</v>
      </c>
      <c r="F78">
        <v>0</v>
      </c>
      <c r="G78">
        <v>-11.1366</v>
      </c>
    </row>
    <row r="79" spans="1:7" x14ac:dyDescent="0.25">
      <c r="A79" s="7" t="s">
        <v>265</v>
      </c>
      <c r="B79">
        <v>-10.145099999999999</v>
      </c>
      <c r="C79">
        <v>1.583</v>
      </c>
      <c r="D79">
        <v>-11.120699999999999</v>
      </c>
      <c r="E79">
        <v>0</v>
      </c>
      <c r="F79">
        <v>0</v>
      </c>
      <c r="G79">
        <v>-11.138500000000001</v>
      </c>
    </row>
    <row r="80" spans="1:7" x14ac:dyDescent="0.25">
      <c r="A80" s="7" t="s">
        <v>51</v>
      </c>
      <c r="B80">
        <v>-9.9779</v>
      </c>
      <c r="C80">
        <v>1.6442000000000001</v>
      </c>
      <c r="D80">
        <v>-10.9945</v>
      </c>
      <c r="E80">
        <v>0</v>
      </c>
      <c r="F80">
        <v>0</v>
      </c>
      <c r="G80">
        <v>-11.0669</v>
      </c>
    </row>
    <row r="81" spans="1:7" x14ac:dyDescent="0.25">
      <c r="A81" s="7" t="s">
        <v>52</v>
      </c>
      <c r="B81">
        <v>-10.191000000000001</v>
      </c>
      <c r="C81">
        <v>1.5820000000000001</v>
      </c>
      <c r="D81">
        <v>-11.156700000000001</v>
      </c>
      <c r="E81">
        <v>0</v>
      </c>
      <c r="F81">
        <v>0</v>
      </c>
      <c r="G81">
        <v>-11.1815</v>
      </c>
    </row>
    <row r="82" spans="1:7" x14ac:dyDescent="0.25">
      <c r="A82" s="7" t="s">
        <v>53</v>
      </c>
      <c r="B82">
        <v>-9.8657000000000004</v>
      </c>
      <c r="C82">
        <v>1.6664000000000001</v>
      </c>
      <c r="D82">
        <v>-10.885199999999999</v>
      </c>
      <c r="E82">
        <v>0</v>
      </c>
      <c r="F82">
        <v>0</v>
      </c>
      <c r="G82">
        <v>-10.9758</v>
      </c>
    </row>
    <row r="83" spans="1:7" x14ac:dyDescent="0.25">
      <c r="A83" s="7" t="s">
        <v>54</v>
      </c>
      <c r="B83">
        <v>-9.9793000000000003</v>
      </c>
      <c r="C83">
        <v>1.6211</v>
      </c>
      <c r="D83">
        <v>-10.944000000000001</v>
      </c>
      <c r="E83">
        <v>0</v>
      </c>
      <c r="F83">
        <v>0</v>
      </c>
      <c r="G83">
        <v>-11.0158</v>
      </c>
    </row>
    <row r="84" spans="1:7" x14ac:dyDescent="0.25">
      <c r="A84" s="7" t="s">
        <v>55</v>
      </c>
      <c r="B84">
        <v>-10.1996</v>
      </c>
      <c r="C84">
        <v>1.6417999999999999</v>
      </c>
      <c r="D84">
        <v>-11.189299999999999</v>
      </c>
      <c r="E84">
        <v>0</v>
      </c>
      <c r="F84">
        <v>0</v>
      </c>
      <c r="G84">
        <v>-11.244300000000001</v>
      </c>
    </row>
    <row r="85" spans="1:7" x14ac:dyDescent="0.25">
      <c r="A85" s="7" t="s">
        <v>266</v>
      </c>
      <c r="B85">
        <v>-10.0867</v>
      </c>
      <c r="C85">
        <v>1.5898000000000001</v>
      </c>
      <c r="D85">
        <v>-11.0547</v>
      </c>
      <c r="E85">
        <v>0</v>
      </c>
      <c r="F85">
        <v>0</v>
      </c>
      <c r="G85">
        <v>-11.088699999999999</v>
      </c>
    </row>
    <row r="86" spans="1:7" x14ac:dyDescent="0.25">
      <c r="A86" s="7" t="s">
        <v>267</v>
      </c>
      <c r="B86">
        <v>-10.090199999999999</v>
      </c>
      <c r="C86">
        <v>1.6577</v>
      </c>
      <c r="D86">
        <v>-11.1043</v>
      </c>
      <c r="E86">
        <v>0</v>
      </c>
      <c r="F86">
        <v>0</v>
      </c>
      <c r="G86">
        <v>-11.200900000000001</v>
      </c>
    </row>
    <row r="87" spans="1:7" x14ac:dyDescent="0.25">
      <c r="A87" s="7" t="s">
        <v>268</v>
      </c>
      <c r="B87">
        <v>-9.9070999999999998</v>
      </c>
      <c r="C87">
        <v>1.661</v>
      </c>
      <c r="D87">
        <v>-10.9246</v>
      </c>
      <c r="E87">
        <v>0</v>
      </c>
      <c r="F87">
        <v>0</v>
      </c>
      <c r="G87">
        <v>-11.013500000000001</v>
      </c>
    </row>
    <row r="88" spans="1:7" x14ac:dyDescent="0.25">
      <c r="A88" s="7" t="s">
        <v>269</v>
      </c>
      <c r="B88">
        <v>-10.036799999999999</v>
      </c>
      <c r="C88">
        <v>1.6633</v>
      </c>
      <c r="D88">
        <v>-11.0573</v>
      </c>
      <c r="E88">
        <v>0</v>
      </c>
      <c r="F88">
        <v>0</v>
      </c>
      <c r="G88">
        <v>-11.1388</v>
      </c>
    </row>
    <row r="89" spans="1:7" x14ac:dyDescent="0.25">
      <c r="A89" s="7" t="s">
        <v>57</v>
      </c>
      <c r="B89">
        <v>-10.271000000000001</v>
      </c>
      <c r="C89">
        <v>0</v>
      </c>
      <c r="D89">
        <v>-10.271000000000001</v>
      </c>
      <c r="E89">
        <v>0</v>
      </c>
      <c r="F89">
        <v>0</v>
      </c>
      <c r="G89">
        <v>-11.716900000000001</v>
      </c>
    </row>
    <row r="90" spans="1:7" x14ac:dyDescent="0.25">
      <c r="A90" s="7" t="s">
        <v>58</v>
      </c>
      <c r="B90">
        <v>-10.3096</v>
      </c>
      <c r="C90">
        <v>0</v>
      </c>
      <c r="D90">
        <v>-10.3096</v>
      </c>
      <c r="E90">
        <v>0</v>
      </c>
      <c r="F90">
        <v>0</v>
      </c>
      <c r="G90">
        <v>-11.847099999999999</v>
      </c>
    </row>
    <row r="91" spans="1:7" x14ac:dyDescent="0.25">
      <c r="A91" s="7" t="s">
        <v>59</v>
      </c>
      <c r="B91">
        <v>-10.231</v>
      </c>
      <c r="C91">
        <v>0</v>
      </c>
      <c r="D91">
        <v>-10.231</v>
      </c>
      <c r="E91">
        <v>0</v>
      </c>
      <c r="F91">
        <v>0</v>
      </c>
      <c r="G91">
        <v>-11.651199999999999</v>
      </c>
    </row>
    <row r="92" spans="1:7" x14ac:dyDescent="0.25">
      <c r="A92" s="7" t="s">
        <v>60</v>
      </c>
      <c r="B92">
        <v>-10.212199999999999</v>
      </c>
      <c r="C92">
        <v>0</v>
      </c>
      <c r="D92">
        <v>-10.212199999999999</v>
      </c>
      <c r="E92">
        <v>0</v>
      </c>
      <c r="F92">
        <v>0</v>
      </c>
      <c r="G92">
        <v>-11.726100000000001</v>
      </c>
    </row>
    <row r="93" spans="1:7" x14ac:dyDescent="0.25">
      <c r="A93" s="7" t="s">
        <v>61</v>
      </c>
      <c r="B93">
        <v>-10.359400000000001</v>
      </c>
      <c r="C93">
        <v>0</v>
      </c>
      <c r="D93">
        <v>-10.359400000000001</v>
      </c>
      <c r="E93">
        <v>0</v>
      </c>
      <c r="F93">
        <v>0</v>
      </c>
      <c r="G93">
        <v>-11.889200000000001</v>
      </c>
    </row>
    <row r="94" spans="1:7" x14ac:dyDescent="0.25">
      <c r="A94" s="7" t="s">
        <v>270</v>
      </c>
      <c r="B94">
        <v>-9.5287000000000006</v>
      </c>
      <c r="C94">
        <v>0</v>
      </c>
      <c r="D94">
        <v>-10.499700000000001</v>
      </c>
      <c r="E94">
        <v>0</v>
      </c>
      <c r="F94">
        <v>0</v>
      </c>
      <c r="G94">
        <v>-9.7493999999999996</v>
      </c>
    </row>
    <row r="95" spans="1:7" x14ac:dyDescent="0.25">
      <c r="A95" s="7" t="s">
        <v>271</v>
      </c>
      <c r="B95">
        <v>-9.4359999999999999</v>
      </c>
      <c r="C95">
        <v>0</v>
      </c>
      <c r="D95">
        <v>-10.4366</v>
      </c>
      <c r="E95">
        <v>0</v>
      </c>
      <c r="F95">
        <v>0</v>
      </c>
      <c r="G95">
        <v>-9.5870999999999995</v>
      </c>
    </row>
    <row r="96" spans="1:7" x14ac:dyDescent="0.25">
      <c r="A96" s="7" t="s">
        <v>272</v>
      </c>
      <c r="B96">
        <v>-9.5691000000000006</v>
      </c>
      <c r="C96">
        <v>0.24340000000000001</v>
      </c>
      <c r="D96">
        <v>-10.3482</v>
      </c>
      <c r="E96">
        <v>0</v>
      </c>
      <c r="F96">
        <v>0</v>
      </c>
      <c r="G96">
        <v>-9.9451999999999998</v>
      </c>
    </row>
    <row r="97" spans="1:7" x14ac:dyDescent="0.25">
      <c r="A97" s="7" t="s">
        <v>273</v>
      </c>
      <c r="B97">
        <v>-9.5690000000000008</v>
      </c>
      <c r="C97">
        <v>0</v>
      </c>
      <c r="D97">
        <v>-10.5663</v>
      </c>
      <c r="E97">
        <v>0</v>
      </c>
      <c r="F97">
        <v>0</v>
      </c>
      <c r="G97">
        <v>-9.4890000000000008</v>
      </c>
    </row>
    <row r="98" spans="1:7" x14ac:dyDescent="0.25">
      <c r="A98" s="7" t="s">
        <v>274</v>
      </c>
      <c r="B98">
        <v>-9.5170999999999992</v>
      </c>
      <c r="C98">
        <v>0</v>
      </c>
      <c r="D98">
        <v>-10.5115</v>
      </c>
      <c r="E98">
        <v>0</v>
      </c>
      <c r="F98">
        <v>0</v>
      </c>
      <c r="G98">
        <v>-9.5358999999999998</v>
      </c>
    </row>
    <row r="99" spans="1:7" x14ac:dyDescent="0.25">
      <c r="A99" s="7" t="s">
        <v>275</v>
      </c>
      <c r="B99">
        <v>-9.5739000000000001</v>
      </c>
      <c r="C99">
        <v>0</v>
      </c>
      <c r="D99">
        <v>-10.5367</v>
      </c>
      <c r="E99">
        <v>0</v>
      </c>
      <c r="F99">
        <v>0</v>
      </c>
      <c r="G99">
        <v>-9.7901000000000007</v>
      </c>
    </row>
    <row r="100" spans="1:7" x14ac:dyDescent="0.25">
      <c r="A100" s="7" t="s">
        <v>276</v>
      </c>
      <c r="B100">
        <v>-9.4152000000000005</v>
      </c>
      <c r="C100">
        <v>0</v>
      </c>
      <c r="D100">
        <v>-10.3804</v>
      </c>
      <c r="E100">
        <v>0</v>
      </c>
      <c r="F100">
        <v>0</v>
      </c>
      <c r="G100">
        <v>-9.6288</v>
      </c>
    </row>
    <row r="101" spans="1:7" x14ac:dyDescent="0.25">
      <c r="A101" s="7" t="s">
        <v>277</v>
      </c>
      <c r="B101">
        <v>-9.5337999999999994</v>
      </c>
      <c r="C101">
        <v>0</v>
      </c>
      <c r="D101">
        <v>-10.504099999999999</v>
      </c>
      <c r="E101">
        <v>0</v>
      </c>
      <c r="F101">
        <v>0</v>
      </c>
      <c r="G101">
        <v>-9.7535000000000007</v>
      </c>
    </row>
    <row r="102" spans="1:7" x14ac:dyDescent="0.25">
      <c r="A102" s="7" t="s">
        <v>278</v>
      </c>
      <c r="B102">
        <v>-5.5233999999999996</v>
      </c>
      <c r="C102">
        <v>0</v>
      </c>
      <c r="D102">
        <v>-6.8761999999999999</v>
      </c>
      <c r="E102">
        <v>0</v>
      </c>
      <c r="F102">
        <v>0</v>
      </c>
      <c r="G102">
        <v>-7.4782999999999999</v>
      </c>
    </row>
    <row r="103" spans="1:7" x14ac:dyDescent="0.25">
      <c r="A103" s="7" t="s">
        <v>279</v>
      </c>
      <c r="B103">
        <v>-5.5228000000000002</v>
      </c>
      <c r="C103">
        <v>0</v>
      </c>
      <c r="D103">
        <v>-6.8754</v>
      </c>
      <c r="E103">
        <v>0</v>
      </c>
      <c r="F103">
        <v>0</v>
      </c>
      <c r="G103">
        <v>-7.4776999999999996</v>
      </c>
    </row>
    <row r="104" spans="1:7" x14ac:dyDescent="0.25">
      <c r="A104" s="7" t="s">
        <v>280</v>
      </c>
      <c r="B104">
        <v>-5.5861999999999998</v>
      </c>
      <c r="C104">
        <v>0</v>
      </c>
      <c r="D104">
        <v>-6.8532000000000002</v>
      </c>
      <c r="E104">
        <v>0</v>
      </c>
      <c r="F104">
        <v>0</v>
      </c>
      <c r="G104">
        <v>-7.5967000000000002</v>
      </c>
    </row>
    <row r="105" spans="1:7" x14ac:dyDescent="0.25">
      <c r="A105" s="7" t="s">
        <v>281</v>
      </c>
      <c r="B105">
        <v>-5.6165000000000003</v>
      </c>
      <c r="C105">
        <v>0</v>
      </c>
      <c r="D105">
        <v>-6.9617000000000004</v>
      </c>
      <c r="E105">
        <v>0</v>
      </c>
      <c r="F105">
        <v>0</v>
      </c>
      <c r="G105">
        <v>-7.5422000000000002</v>
      </c>
    </row>
    <row r="106" spans="1:7" x14ac:dyDescent="0.25">
      <c r="A106" s="7" t="s">
        <v>63</v>
      </c>
      <c r="B106">
        <v>-5.5437000000000003</v>
      </c>
      <c r="C106">
        <v>0</v>
      </c>
      <c r="D106">
        <v>-6.8650000000000002</v>
      </c>
      <c r="E106">
        <v>0</v>
      </c>
      <c r="F106">
        <v>0</v>
      </c>
      <c r="G106">
        <v>-7.5256999999999996</v>
      </c>
    </row>
    <row r="107" spans="1:7" x14ac:dyDescent="0.25">
      <c r="A107" s="7" t="s">
        <v>64</v>
      </c>
      <c r="B107">
        <v>-5.6395999999999997</v>
      </c>
      <c r="C107">
        <v>0</v>
      </c>
      <c r="D107">
        <v>-6.9928999999999997</v>
      </c>
      <c r="E107">
        <v>0</v>
      </c>
      <c r="F107">
        <v>0</v>
      </c>
      <c r="G107">
        <v>-7.5598999999999998</v>
      </c>
    </row>
    <row r="108" spans="1:7" x14ac:dyDescent="0.25">
      <c r="A108" s="7" t="s">
        <v>65</v>
      </c>
      <c r="B108">
        <v>-5.4702000000000002</v>
      </c>
      <c r="C108">
        <v>0</v>
      </c>
      <c r="D108">
        <v>-6.7923999999999998</v>
      </c>
      <c r="E108">
        <v>0</v>
      </c>
      <c r="F108">
        <v>0</v>
      </c>
      <c r="G108">
        <v>-7.5022000000000002</v>
      </c>
    </row>
    <row r="109" spans="1:7" x14ac:dyDescent="0.25">
      <c r="A109" s="7" t="s">
        <v>66</v>
      </c>
      <c r="B109">
        <v>-5.5073999999999996</v>
      </c>
      <c r="C109">
        <v>0</v>
      </c>
      <c r="D109">
        <v>-6.8548999999999998</v>
      </c>
      <c r="E109">
        <v>0</v>
      </c>
      <c r="F109">
        <v>0</v>
      </c>
      <c r="G109">
        <v>-7.5025000000000004</v>
      </c>
    </row>
    <row r="110" spans="1:7" x14ac:dyDescent="0.25">
      <c r="A110" s="7" t="s">
        <v>67</v>
      </c>
      <c r="B110">
        <v>-5.6883999999999997</v>
      </c>
      <c r="C110">
        <v>0</v>
      </c>
      <c r="D110">
        <v>-7.0282</v>
      </c>
      <c r="E110">
        <v>0</v>
      </c>
      <c r="F110">
        <v>0</v>
      </c>
      <c r="G110">
        <v>-7.6455000000000002</v>
      </c>
    </row>
    <row r="111" spans="1:7" x14ac:dyDescent="0.25">
      <c r="A111" s="7" t="s">
        <v>282</v>
      </c>
      <c r="B111">
        <v>-5.5692000000000004</v>
      </c>
      <c r="C111">
        <v>0</v>
      </c>
      <c r="D111">
        <v>-6.9250999999999996</v>
      </c>
      <c r="E111">
        <v>0</v>
      </c>
      <c r="F111">
        <v>0</v>
      </c>
      <c r="G111">
        <v>-7.5156999999999998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D019CA-C3C1-4ECE-9D8A-322A0E6B5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q,d_sum</vt:lpstr>
      <vt:lpstr>dipoles_dft</vt:lpstr>
      <vt:lpstr>quadrupoles_dft</vt:lpstr>
      <vt:lpstr>stdev</vt:lpstr>
      <vt:lpstr>energies</vt:lpstr>
      <vt:lpstr>dipoles_hf</vt:lpstr>
      <vt:lpstr>quadrupoles_hf</vt:lpstr>
      <vt:lpstr>cbs_limit(energy)</vt:lpstr>
      <vt:lpstr>cbs_limit</vt:lpstr>
      <vt:lpstr>data_org</vt:lpstr>
      <vt:lpstr>data_raw</vt:lpstr>
      <vt:lpstr>quadrupoles_dft!quadrupoles</vt:lpstr>
      <vt:lpstr>energies!totalenergies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liang</dc:creator>
  <cp:lastModifiedBy>jason liang</cp:lastModifiedBy>
  <dcterms:created xsi:type="dcterms:W3CDTF">2020-05-30T00:36:14Z</dcterms:created>
  <dcterms:modified xsi:type="dcterms:W3CDTF">2020-07-21T08:44:58Z</dcterms:modified>
</cp:coreProperties>
</file>